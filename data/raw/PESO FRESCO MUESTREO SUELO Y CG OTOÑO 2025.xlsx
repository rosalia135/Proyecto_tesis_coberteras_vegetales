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FONDECYT\MUESTREO SUELO\"/>
    </mc:Choice>
  </mc:AlternateContent>
  <xr:revisionPtr revIDLastSave="0" documentId="13_ncr:1_{2888A5C2-C955-4C46-BA6D-103986C70D2F}" xr6:coauthVersionLast="47" xr6:coauthVersionMax="47" xr10:uidLastSave="{00000000-0000-0000-0000-000000000000}"/>
  <bookViews>
    <workbookView xWindow="-120" yWindow="-120" windowWidth="29040" windowHeight="15840" firstSheet="4" activeTab="4" xr2:uid="{67FD4D4B-70B4-4B06-AF79-D91F58982105}"/>
  </bookViews>
  <sheets>
    <sheet name="Hoja1" sheetId="1" state="hidden" r:id="rId1"/>
    <sheet name="Hoja1 (2)" sheetId="2" state="hidden" r:id="rId2"/>
    <sheet name="Hoja1 (3)" sheetId="3" state="hidden" r:id="rId3"/>
    <sheet name="Hoja1 (4)" sheetId="4" state="hidden" r:id="rId4"/>
    <sheet name="PESO MUESTREO DE SUELO OTOÑO 25" sheetId="5" r:id="rId5"/>
  </sheets>
  <definedNames>
    <definedName name="_xlnm._FilterDatabase" localSheetId="4" hidden="1">'PESO MUESTREO DE SUELO OTOÑO 25'!$A$1:$O$145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2" i="5"/>
  <c r="L2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B35" i="5"/>
  <c r="B36" i="5" s="1"/>
  <c r="B37" i="5" s="1"/>
  <c r="B31" i="5"/>
  <c r="B32" i="5" s="1"/>
  <c r="B33" i="5" s="1"/>
  <c r="B27" i="5"/>
  <c r="B28" i="5" s="1"/>
  <c r="B29" i="5" s="1"/>
  <c r="B23" i="5"/>
  <c r="B24" i="5" s="1"/>
  <c r="B25" i="5" s="1"/>
  <c r="B19" i="5"/>
  <c r="B20" i="5" s="1"/>
  <c r="B21" i="5" s="1"/>
  <c r="B15" i="5"/>
  <c r="B16" i="5" s="1"/>
  <c r="B17" i="5" s="1"/>
  <c r="B11" i="5"/>
  <c r="B12" i="5" s="1"/>
  <c r="B13" i="5" s="1"/>
  <c r="B7" i="5"/>
  <c r="B8" i="5" s="1"/>
  <c r="B9" i="5" s="1"/>
  <c r="B7" i="1"/>
  <c r="B8" i="1"/>
  <c r="B9" i="1" s="1"/>
  <c r="B11" i="1"/>
  <c r="B12" i="1" s="1"/>
  <c r="B13" i="1" s="1"/>
  <c r="B15" i="1"/>
  <c r="B16" i="1"/>
  <c r="B17" i="1" s="1"/>
  <c r="B19" i="1"/>
  <c r="B20" i="1"/>
  <c r="B21" i="1"/>
  <c r="B23" i="1"/>
  <c r="B24" i="1"/>
  <c r="B25" i="1"/>
  <c r="B27" i="1"/>
  <c r="B28" i="1" s="1"/>
  <c r="B29" i="1" s="1"/>
  <c r="B31" i="1"/>
  <c r="B32" i="1"/>
  <c r="B33" i="1" s="1"/>
  <c r="B35" i="1"/>
  <c r="B36" i="1" s="1"/>
  <c r="B37" i="1" s="1"/>
  <c r="M2" i="5" l="1"/>
  <c r="N2" i="5" s="1"/>
  <c r="M145" i="5"/>
  <c r="N145" i="5" s="1"/>
  <c r="M144" i="5"/>
  <c r="N144" i="5" s="1"/>
  <c r="M143" i="5"/>
  <c r="N143" i="5" s="1"/>
  <c r="M142" i="5"/>
  <c r="N142" i="5" s="1"/>
  <c r="M141" i="5"/>
  <c r="N141" i="5" s="1"/>
  <c r="M140" i="5"/>
  <c r="N140" i="5" s="1"/>
  <c r="M139" i="5"/>
  <c r="N139" i="5" s="1"/>
  <c r="M138" i="5"/>
  <c r="N138" i="5" s="1"/>
  <c r="M137" i="5"/>
  <c r="N137" i="5" s="1"/>
  <c r="M136" i="5"/>
  <c r="N136" i="5" s="1"/>
  <c r="M135" i="5"/>
  <c r="N135" i="5" s="1"/>
  <c r="M134" i="5"/>
  <c r="N134" i="5" s="1"/>
  <c r="M133" i="5"/>
  <c r="N133" i="5" s="1"/>
  <c r="M132" i="5"/>
  <c r="N132" i="5" s="1"/>
  <c r="M131" i="5"/>
  <c r="N131" i="5" s="1"/>
  <c r="M130" i="5"/>
  <c r="N130" i="5" s="1"/>
  <c r="M129" i="5"/>
  <c r="N129" i="5" s="1"/>
  <c r="M128" i="5"/>
  <c r="N128" i="5" s="1"/>
  <c r="M127" i="5"/>
  <c r="N127" i="5" s="1"/>
  <c r="M126" i="5"/>
  <c r="N126" i="5" s="1"/>
  <c r="M125" i="5"/>
  <c r="N125" i="5" s="1"/>
  <c r="M124" i="5"/>
  <c r="N124" i="5" s="1"/>
  <c r="M123" i="5"/>
  <c r="N123" i="5" s="1"/>
  <c r="M122" i="5"/>
  <c r="N122" i="5" s="1"/>
  <c r="M121" i="5"/>
  <c r="N121" i="5" s="1"/>
  <c r="M120" i="5"/>
  <c r="N120" i="5" s="1"/>
  <c r="M119" i="5"/>
  <c r="N119" i="5" s="1"/>
  <c r="M118" i="5"/>
  <c r="N118" i="5" s="1"/>
  <c r="M117" i="5"/>
  <c r="N117" i="5" s="1"/>
  <c r="M116" i="5"/>
  <c r="N116" i="5" s="1"/>
  <c r="M115" i="5"/>
  <c r="N115" i="5" s="1"/>
  <c r="M114" i="5"/>
  <c r="N114" i="5" s="1"/>
  <c r="M113" i="5"/>
  <c r="N113" i="5" s="1"/>
  <c r="M112" i="5"/>
  <c r="N112" i="5" s="1"/>
  <c r="M111" i="5"/>
  <c r="N111" i="5" s="1"/>
  <c r="M110" i="5"/>
  <c r="N110" i="5" s="1"/>
  <c r="M109" i="5"/>
  <c r="N109" i="5" s="1"/>
  <c r="M108" i="5"/>
  <c r="N108" i="5" s="1"/>
  <c r="M107" i="5"/>
  <c r="N107" i="5" s="1"/>
  <c r="M106" i="5"/>
  <c r="N106" i="5" s="1"/>
  <c r="M105" i="5"/>
  <c r="N105" i="5" s="1"/>
  <c r="M104" i="5"/>
  <c r="N104" i="5" s="1"/>
  <c r="M103" i="5"/>
  <c r="N103" i="5" s="1"/>
  <c r="M102" i="5"/>
  <c r="N102" i="5" s="1"/>
  <c r="M101" i="5"/>
  <c r="N101" i="5" s="1"/>
  <c r="M100" i="5"/>
  <c r="N100" i="5" s="1"/>
  <c r="M99" i="5"/>
  <c r="N99" i="5" s="1"/>
  <c r="M98" i="5"/>
  <c r="N98" i="5" s="1"/>
  <c r="M97" i="5"/>
  <c r="N97" i="5" s="1"/>
  <c r="M96" i="5"/>
  <c r="N96" i="5" s="1"/>
  <c r="M95" i="5"/>
  <c r="N95" i="5" s="1"/>
  <c r="M94" i="5"/>
  <c r="N94" i="5" s="1"/>
  <c r="M93" i="5"/>
  <c r="N93" i="5" s="1"/>
  <c r="M92" i="5"/>
  <c r="N92" i="5" s="1"/>
  <c r="M91" i="5"/>
  <c r="N91" i="5" s="1"/>
  <c r="M90" i="5"/>
  <c r="N90" i="5" s="1"/>
  <c r="M89" i="5"/>
  <c r="N89" i="5" s="1"/>
  <c r="M88" i="5"/>
  <c r="N88" i="5" s="1"/>
  <c r="M87" i="5"/>
  <c r="N87" i="5" s="1"/>
  <c r="M86" i="5"/>
  <c r="N86" i="5" s="1"/>
  <c r="M85" i="5"/>
  <c r="N85" i="5" s="1"/>
  <c r="M84" i="5"/>
  <c r="N84" i="5" s="1"/>
  <c r="M83" i="5"/>
  <c r="N83" i="5" s="1"/>
  <c r="M82" i="5"/>
  <c r="N82" i="5" s="1"/>
  <c r="M81" i="5"/>
  <c r="N81" i="5" s="1"/>
  <c r="M80" i="5"/>
  <c r="N80" i="5" s="1"/>
  <c r="M79" i="5"/>
  <c r="N79" i="5" s="1"/>
  <c r="M78" i="5"/>
  <c r="N78" i="5" s="1"/>
  <c r="M77" i="5"/>
  <c r="N77" i="5" s="1"/>
  <c r="M76" i="5"/>
  <c r="N76" i="5" s="1"/>
  <c r="M75" i="5"/>
  <c r="N75" i="5" s="1"/>
  <c r="M74" i="5"/>
  <c r="N74" i="5" s="1"/>
  <c r="M73" i="5"/>
  <c r="N73" i="5" s="1"/>
  <c r="M72" i="5"/>
  <c r="N72" i="5" s="1"/>
  <c r="M71" i="5"/>
  <c r="N71" i="5" s="1"/>
  <c r="M70" i="5"/>
  <c r="N70" i="5" s="1"/>
  <c r="M69" i="5"/>
  <c r="N69" i="5" s="1"/>
  <c r="M68" i="5"/>
  <c r="N68" i="5" s="1"/>
  <c r="M67" i="5"/>
  <c r="N67" i="5" s="1"/>
  <c r="M66" i="5"/>
  <c r="N66" i="5" s="1"/>
  <c r="M65" i="5"/>
  <c r="N65" i="5" s="1"/>
  <c r="M64" i="5"/>
  <c r="N64" i="5" s="1"/>
  <c r="M63" i="5"/>
  <c r="N63" i="5" s="1"/>
  <c r="M62" i="5"/>
  <c r="N62" i="5" s="1"/>
  <c r="M61" i="5"/>
  <c r="N61" i="5" s="1"/>
  <c r="M60" i="5"/>
  <c r="N60" i="5" s="1"/>
  <c r="M59" i="5"/>
  <c r="N59" i="5" s="1"/>
  <c r="M58" i="5"/>
  <c r="N58" i="5" s="1"/>
  <c r="M57" i="5"/>
  <c r="N57" i="5" s="1"/>
  <c r="M56" i="5"/>
  <c r="N56" i="5" s="1"/>
  <c r="M55" i="5"/>
  <c r="N55" i="5" s="1"/>
  <c r="M54" i="5"/>
  <c r="N54" i="5" s="1"/>
  <c r="M53" i="5"/>
  <c r="N53" i="5" s="1"/>
  <c r="M52" i="5"/>
  <c r="N52" i="5" s="1"/>
  <c r="M51" i="5"/>
  <c r="N51" i="5" s="1"/>
  <c r="M50" i="5"/>
  <c r="N50" i="5" s="1"/>
  <c r="M49" i="5"/>
  <c r="N49" i="5" s="1"/>
  <c r="M48" i="5"/>
  <c r="N48" i="5" s="1"/>
  <c r="M47" i="5"/>
  <c r="N47" i="5" s="1"/>
  <c r="M46" i="5"/>
  <c r="N46" i="5" s="1"/>
  <c r="M45" i="5"/>
  <c r="N45" i="5" s="1"/>
  <c r="M44" i="5"/>
  <c r="N44" i="5" s="1"/>
  <c r="M43" i="5"/>
  <c r="N43" i="5" s="1"/>
  <c r="M42" i="5"/>
  <c r="N42" i="5" s="1"/>
  <c r="M41" i="5"/>
  <c r="N41" i="5" s="1"/>
  <c r="M40" i="5"/>
  <c r="N40" i="5" s="1"/>
  <c r="M39" i="5"/>
  <c r="N39" i="5" s="1"/>
  <c r="M38" i="5"/>
  <c r="N38" i="5" s="1"/>
  <c r="M37" i="5"/>
  <c r="N37" i="5" s="1"/>
  <c r="M36" i="5"/>
  <c r="N36" i="5" s="1"/>
  <c r="M35" i="5"/>
  <c r="N35" i="5" s="1"/>
  <c r="M34" i="5"/>
  <c r="N34" i="5" s="1"/>
  <c r="M33" i="5"/>
  <c r="N33" i="5" s="1"/>
  <c r="M32" i="5"/>
  <c r="N32" i="5" s="1"/>
  <c r="M31" i="5"/>
  <c r="N31" i="5" s="1"/>
  <c r="M30" i="5"/>
  <c r="N30" i="5" s="1"/>
  <c r="M29" i="5"/>
  <c r="N29" i="5" s="1"/>
  <c r="M28" i="5"/>
  <c r="N28" i="5" s="1"/>
  <c r="M27" i="5"/>
  <c r="N27" i="5" s="1"/>
  <c r="M26" i="5"/>
  <c r="N26" i="5" s="1"/>
  <c r="M25" i="5"/>
  <c r="N25" i="5" s="1"/>
  <c r="M24" i="5"/>
  <c r="N24" i="5" s="1"/>
  <c r="M23" i="5"/>
  <c r="N23" i="5" s="1"/>
  <c r="M22" i="5"/>
  <c r="N22" i="5" s="1"/>
  <c r="M21" i="5"/>
  <c r="N21" i="5" s="1"/>
  <c r="M20" i="5"/>
  <c r="N20" i="5" s="1"/>
  <c r="M19" i="5"/>
  <c r="N19" i="5" s="1"/>
  <c r="M18" i="5"/>
  <c r="N18" i="5" s="1"/>
  <c r="M17" i="5"/>
  <c r="N17" i="5" s="1"/>
  <c r="M16" i="5"/>
  <c r="N16" i="5" s="1"/>
  <c r="M15" i="5"/>
  <c r="N15" i="5" s="1"/>
  <c r="M14" i="5"/>
  <c r="N14" i="5" s="1"/>
  <c r="M13" i="5"/>
  <c r="N13" i="5" s="1"/>
  <c r="M12" i="5"/>
  <c r="N12" i="5" s="1"/>
  <c r="M11" i="5"/>
  <c r="N11" i="5" s="1"/>
  <c r="M10" i="5"/>
  <c r="N10" i="5" s="1"/>
  <c r="M9" i="5"/>
  <c r="N9" i="5" s="1"/>
  <c r="M8" i="5"/>
  <c r="N8" i="5" s="1"/>
  <c r="M7" i="5"/>
  <c r="N7" i="5" s="1"/>
  <c r="M6" i="5"/>
  <c r="N6" i="5" s="1"/>
  <c r="M5" i="5"/>
  <c r="N5" i="5" s="1"/>
  <c r="M4" i="5"/>
  <c r="N4" i="5" s="1"/>
  <c r="M3" i="5"/>
  <c r="N3" i="5" s="1"/>
</calcChain>
</file>

<file path=xl/sharedStrings.xml><?xml version="1.0" encoding="utf-8"?>
<sst xmlns="http://schemas.openxmlformats.org/spreadsheetml/2006/main" count="337" uniqueCount="27">
  <si>
    <t>BLOQUE</t>
  </si>
  <si>
    <t>PARCELA</t>
  </si>
  <si>
    <t>PROFUNDIDAD (cm)</t>
  </si>
  <si>
    <t>Peso fresco con bolsa (g)</t>
  </si>
  <si>
    <t>Peso fresco submuestra con pote (g)</t>
  </si>
  <si>
    <t>Peso seco con pote grande (g)</t>
  </si>
  <si>
    <t>Peso seco submuestra con pote (g)</t>
  </si>
  <si>
    <t>0-10</t>
  </si>
  <si>
    <t>10-30</t>
  </si>
  <si>
    <t>30-60</t>
  </si>
  <si>
    <t>60-100</t>
  </si>
  <si>
    <t>Peso 10 bolsas</t>
  </si>
  <si>
    <t>Peso prom 1 bolsa</t>
  </si>
  <si>
    <t>Peso 10 potes chicos</t>
  </si>
  <si>
    <t>Pero prom 1 pote chico</t>
  </si>
  <si>
    <t>Peso 20 potes grandes</t>
  </si>
  <si>
    <t>Peso prom 1 pote grande</t>
  </si>
  <si>
    <t>Peso pote pequeño (g)</t>
  </si>
  <si>
    <t>Peso pote grande (g)</t>
  </si>
  <si>
    <t>Peso fresco submuestra sin pote (g)</t>
  </si>
  <si>
    <t>Peso seco a 40°C con pote grande (g)</t>
  </si>
  <si>
    <t>Peso seco a 40°C sin pote grande (g)</t>
  </si>
  <si>
    <t>Peso seco a 105°C submuestra con pote (g)</t>
  </si>
  <si>
    <t>Peso seco a 105°C submuestra sin pote (g)</t>
  </si>
  <si>
    <t>Contenido agua muestra (g)</t>
  </si>
  <si>
    <t>Contenido gravimétrico de agua submuestra (%)</t>
  </si>
  <si>
    <t xml:space="preserve">Fecha cálculo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</si>
</sst>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45B5-69DE-4E20-B2C0-B361B94A3933}">
  <sheetPr>
    <pageSetUpPr fitToPage="1"/>
  </sheetPr>
  <dimension ref="A1:G37"/>
  <sheetViews>
    <sheetView workbookViewId="0">
      <selection activeCell="G38" sqref="G38"/>
    </sheetView>
  </sheetViews>
  <sheetFormatPr baseColWidth="10" defaultColWidth="11.42578125" defaultRowHeight="15" x14ac:dyDescent="0.25"/>
  <cols>
    <col min="3" max="3" width="19" customWidth="1"/>
    <col min="4" max="5" width="12.85546875" customWidth="1"/>
  </cols>
  <sheetData>
    <row r="1" spans="1:7" ht="51" customHeight="1" x14ac:dyDescent="0.25">
      <c r="A1" s="3" t="s">
        <v>0</v>
      </c>
      <c r="B1" s="3" t="s">
        <v>1</v>
      </c>
      <c r="C1" s="3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1">
        <v>1</v>
      </c>
      <c r="B2" s="1">
        <v>101</v>
      </c>
      <c r="C2" s="2" t="s">
        <v>7</v>
      </c>
      <c r="D2" s="9">
        <v>238.51</v>
      </c>
      <c r="E2" s="7">
        <v>21.73</v>
      </c>
      <c r="F2" s="8">
        <v>176.43</v>
      </c>
      <c r="G2" s="8">
        <v>18.68</v>
      </c>
    </row>
    <row r="3" spans="1:7" x14ac:dyDescent="0.25">
      <c r="A3" s="1">
        <v>1</v>
      </c>
      <c r="B3" s="1">
        <v>101</v>
      </c>
      <c r="C3" s="2" t="s">
        <v>8</v>
      </c>
      <c r="D3" s="9">
        <v>373.06</v>
      </c>
      <c r="E3" s="7">
        <v>21.56</v>
      </c>
      <c r="F3" s="8">
        <v>289.97000000000003</v>
      </c>
      <c r="G3" s="8">
        <v>18.420000000000002</v>
      </c>
    </row>
    <row r="4" spans="1:7" x14ac:dyDescent="0.25">
      <c r="A4" s="1">
        <v>1</v>
      </c>
      <c r="B4" s="1">
        <v>101</v>
      </c>
      <c r="C4" s="2" t="s">
        <v>9</v>
      </c>
      <c r="D4" s="9">
        <v>732</v>
      </c>
      <c r="E4" s="7">
        <v>21.5</v>
      </c>
      <c r="F4" s="8">
        <v>588.28</v>
      </c>
      <c r="G4" s="8">
        <v>18</v>
      </c>
    </row>
    <row r="5" spans="1:7" x14ac:dyDescent="0.25">
      <c r="A5" s="1">
        <v>1</v>
      </c>
      <c r="B5" s="1">
        <v>101</v>
      </c>
      <c r="C5" s="2" t="s">
        <v>10</v>
      </c>
      <c r="D5" s="9">
        <v>1054.23</v>
      </c>
      <c r="E5" s="7">
        <v>21.62</v>
      </c>
      <c r="F5" s="8">
        <v>878.31</v>
      </c>
      <c r="G5" s="8">
        <v>18.510000000000002</v>
      </c>
    </row>
    <row r="6" spans="1:7" x14ac:dyDescent="0.25">
      <c r="A6" s="1">
        <v>1</v>
      </c>
      <c r="B6" s="1">
        <v>102</v>
      </c>
      <c r="C6" s="2" t="s">
        <v>7</v>
      </c>
      <c r="D6" s="9">
        <v>244.98</v>
      </c>
      <c r="E6" s="7">
        <v>21.35</v>
      </c>
      <c r="F6" s="8">
        <v>175.66</v>
      </c>
      <c r="G6" s="8">
        <v>17.739999999999998</v>
      </c>
    </row>
    <row r="7" spans="1:7" x14ac:dyDescent="0.25">
      <c r="A7" s="1">
        <v>1</v>
      </c>
      <c r="B7" s="1">
        <f t="shared" ref="B7:B9" si="0">B6</f>
        <v>102</v>
      </c>
      <c r="C7" s="2" t="s">
        <v>8</v>
      </c>
      <c r="D7" s="9">
        <v>459.74</v>
      </c>
      <c r="E7" s="7">
        <v>21.84</v>
      </c>
      <c r="F7" s="8">
        <v>354.61</v>
      </c>
      <c r="G7" s="8">
        <v>18.03</v>
      </c>
    </row>
    <row r="8" spans="1:7" x14ac:dyDescent="0.25">
      <c r="A8" s="1">
        <v>1</v>
      </c>
      <c r="B8" s="1">
        <f t="shared" si="0"/>
        <v>102</v>
      </c>
      <c r="C8" s="2" t="s">
        <v>9</v>
      </c>
      <c r="D8" s="9">
        <v>682.56</v>
      </c>
      <c r="E8" s="7">
        <v>21.61</v>
      </c>
      <c r="F8" s="8">
        <v>539.49</v>
      </c>
      <c r="G8" s="8">
        <v>17.93</v>
      </c>
    </row>
    <row r="9" spans="1:7" x14ac:dyDescent="0.25">
      <c r="A9" s="1">
        <v>1</v>
      </c>
      <c r="B9" s="1">
        <f t="shared" si="0"/>
        <v>102</v>
      </c>
      <c r="C9" s="2" t="s">
        <v>10</v>
      </c>
      <c r="D9" s="9">
        <v>1034.3499999999999</v>
      </c>
      <c r="E9" s="7">
        <v>21.85</v>
      </c>
      <c r="F9" s="8">
        <v>852.62</v>
      </c>
      <c r="G9" s="8">
        <v>18.440000000000001</v>
      </c>
    </row>
    <row r="10" spans="1:7" x14ac:dyDescent="0.25">
      <c r="A10" s="1">
        <v>1</v>
      </c>
      <c r="B10" s="1">
        <v>103</v>
      </c>
      <c r="C10" s="2" t="s">
        <v>7</v>
      </c>
      <c r="D10" s="9">
        <v>226.41</v>
      </c>
      <c r="E10" s="7">
        <v>21.31</v>
      </c>
      <c r="F10" s="8">
        <v>163.38</v>
      </c>
      <c r="G10" s="8">
        <v>17.98</v>
      </c>
    </row>
    <row r="11" spans="1:7" x14ac:dyDescent="0.25">
      <c r="A11" s="1">
        <v>1</v>
      </c>
      <c r="B11" s="1">
        <f t="shared" ref="B11:B13" si="1">B10</f>
        <v>103</v>
      </c>
      <c r="C11" s="2" t="s">
        <v>8</v>
      </c>
      <c r="D11" s="9">
        <v>416.95</v>
      </c>
      <c r="E11" s="7">
        <v>21.89</v>
      </c>
      <c r="F11" s="8">
        <v>321.85000000000002</v>
      </c>
      <c r="G11" s="8">
        <v>18.190000000000001</v>
      </c>
    </row>
    <row r="12" spans="1:7" x14ac:dyDescent="0.25">
      <c r="A12" s="1">
        <v>1</v>
      </c>
      <c r="B12" s="1">
        <f t="shared" si="1"/>
        <v>103</v>
      </c>
      <c r="C12" s="2" t="s">
        <v>9</v>
      </c>
      <c r="D12" s="9">
        <v>717.25</v>
      </c>
      <c r="E12" s="7">
        <v>21.83</v>
      </c>
      <c r="F12" s="8">
        <v>576.59</v>
      </c>
      <c r="G12" s="8">
        <v>18.25</v>
      </c>
    </row>
    <row r="13" spans="1:7" x14ac:dyDescent="0.25">
      <c r="A13" s="1">
        <v>1</v>
      </c>
      <c r="B13" s="1">
        <f t="shared" si="1"/>
        <v>103</v>
      </c>
      <c r="C13" s="2" t="s">
        <v>10</v>
      </c>
      <c r="D13" s="9">
        <v>955.09</v>
      </c>
      <c r="E13" s="7">
        <v>21.86</v>
      </c>
      <c r="F13" s="8">
        <v>778.57</v>
      </c>
      <c r="G13" s="8">
        <v>18.47</v>
      </c>
    </row>
    <row r="14" spans="1:7" x14ac:dyDescent="0.25">
      <c r="A14" s="1">
        <v>1</v>
      </c>
      <c r="B14" s="1">
        <v>104</v>
      </c>
      <c r="C14" s="2" t="s">
        <v>7</v>
      </c>
      <c r="D14" s="9">
        <v>234.01</v>
      </c>
      <c r="E14" s="7">
        <v>21.44</v>
      </c>
      <c r="F14" s="8">
        <v>169.33</v>
      </c>
      <c r="G14" s="8">
        <v>18.02</v>
      </c>
    </row>
    <row r="15" spans="1:7" x14ac:dyDescent="0.25">
      <c r="A15" s="1">
        <v>1</v>
      </c>
      <c r="B15" s="1">
        <f t="shared" ref="B15:B17" si="2">B14</f>
        <v>104</v>
      </c>
      <c r="C15" s="2" t="s">
        <v>8</v>
      </c>
      <c r="D15" s="9">
        <v>437.5</v>
      </c>
      <c r="E15" s="7">
        <v>21.44</v>
      </c>
      <c r="F15" s="8">
        <v>339.81</v>
      </c>
      <c r="G15" s="8">
        <v>17.78</v>
      </c>
    </row>
    <row r="16" spans="1:7" x14ac:dyDescent="0.25">
      <c r="A16" s="1">
        <v>1</v>
      </c>
      <c r="B16" s="1">
        <f t="shared" si="2"/>
        <v>104</v>
      </c>
      <c r="C16" s="2" t="s">
        <v>9</v>
      </c>
      <c r="D16" s="9">
        <v>697.4</v>
      </c>
      <c r="E16" s="7">
        <v>21.98</v>
      </c>
      <c r="F16" s="8">
        <v>553.15</v>
      </c>
      <c r="G16" s="8">
        <v>18.29</v>
      </c>
    </row>
    <row r="17" spans="1:7" x14ac:dyDescent="0.25">
      <c r="A17" s="1">
        <v>1</v>
      </c>
      <c r="B17" s="1">
        <f t="shared" si="2"/>
        <v>104</v>
      </c>
      <c r="C17" s="2" t="s">
        <v>10</v>
      </c>
      <c r="D17" s="9">
        <v>988.94</v>
      </c>
      <c r="E17" s="7">
        <v>21.44</v>
      </c>
      <c r="F17" s="8">
        <v>797.85</v>
      </c>
      <c r="G17" s="8">
        <v>17.7</v>
      </c>
    </row>
    <row r="18" spans="1:7" x14ac:dyDescent="0.25">
      <c r="A18" s="1">
        <v>1</v>
      </c>
      <c r="B18" s="1">
        <v>105</v>
      </c>
      <c r="C18" s="2" t="s">
        <v>7</v>
      </c>
      <c r="D18" s="9">
        <v>183.18</v>
      </c>
      <c r="E18" s="7">
        <v>21.15</v>
      </c>
      <c r="F18" s="8">
        <v>130.47999999999999</v>
      </c>
      <c r="G18" s="8">
        <v>18.21</v>
      </c>
    </row>
    <row r="19" spans="1:7" x14ac:dyDescent="0.25">
      <c r="A19" s="1">
        <v>1</v>
      </c>
      <c r="B19" s="1">
        <f t="shared" ref="B19:B21" si="3">B18</f>
        <v>105</v>
      </c>
      <c r="C19" s="2" t="s">
        <v>8</v>
      </c>
      <c r="D19" s="9">
        <v>401.8</v>
      </c>
      <c r="E19" s="7">
        <v>21.34</v>
      </c>
      <c r="F19" s="8">
        <v>314.19</v>
      </c>
      <c r="G19" s="8">
        <v>18.12</v>
      </c>
    </row>
    <row r="20" spans="1:7" x14ac:dyDescent="0.25">
      <c r="A20" s="1">
        <v>1</v>
      </c>
      <c r="B20" s="1">
        <f t="shared" si="3"/>
        <v>105</v>
      </c>
      <c r="C20" s="2" t="s">
        <v>9</v>
      </c>
      <c r="D20" s="9">
        <v>700.83</v>
      </c>
      <c r="E20" s="7">
        <v>21.63</v>
      </c>
      <c r="F20" s="8">
        <v>564.15</v>
      </c>
      <c r="G20" s="8">
        <v>18.27</v>
      </c>
    </row>
    <row r="21" spans="1:7" x14ac:dyDescent="0.25">
      <c r="A21" s="1">
        <v>1</v>
      </c>
      <c r="B21" s="1">
        <f t="shared" si="3"/>
        <v>105</v>
      </c>
      <c r="C21" s="2" t="s">
        <v>10</v>
      </c>
      <c r="D21" s="9">
        <v>1022.11</v>
      </c>
      <c r="E21" s="7">
        <v>21.53</v>
      </c>
      <c r="F21" s="8">
        <v>818.49</v>
      </c>
      <c r="G21" s="8">
        <v>18.05</v>
      </c>
    </row>
    <row r="22" spans="1:7" x14ac:dyDescent="0.25">
      <c r="A22" s="1">
        <v>1</v>
      </c>
      <c r="B22" s="1">
        <v>106</v>
      </c>
      <c r="C22" s="2" t="s">
        <v>7</v>
      </c>
      <c r="D22" s="9">
        <v>245.81</v>
      </c>
      <c r="E22" s="7">
        <v>21.47</v>
      </c>
      <c r="F22" s="8">
        <v>182.75</v>
      </c>
      <c r="G22" s="8">
        <v>18.309999999999999</v>
      </c>
    </row>
    <row r="23" spans="1:7" x14ac:dyDescent="0.25">
      <c r="A23" s="1">
        <v>1</v>
      </c>
      <c r="B23" s="1">
        <f t="shared" ref="B23:B25" si="4">B22</f>
        <v>106</v>
      </c>
      <c r="C23" s="2" t="s">
        <v>8</v>
      </c>
      <c r="D23" s="9">
        <v>419.56</v>
      </c>
      <c r="E23" s="7">
        <v>21.53</v>
      </c>
      <c r="F23" s="8">
        <v>328.77</v>
      </c>
      <c r="G23" s="8">
        <v>18.25</v>
      </c>
    </row>
    <row r="24" spans="1:7" x14ac:dyDescent="0.25">
      <c r="A24" s="1">
        <v>1</v>
      </c>
      <c r="B24" s="1">
        <f t="shared" si="4"/>
        <v>106</v>
      </c>
      <c r="C24" s="2" t="s">
        <v>9</v>
      </c>
      <c r="D24" s="9">
        <v>706.25</v>
      </c>
      <c r="E24" s="7">
        <v>21.62</v>
      </c>
      <c r="F24" s="8">
        <v>570.73</v>
      </c>
      <c r="G24" s="8">
        <v>18.22</v>
      </c>
    </row>
    <row r="25" spans="1:7" x14ac:dyDescent="0.25">
      <c r="A25" s="1">
        <v>1</v>
      </c>
      <c r="B25" s="1">
        <f t="shared" si="4"/>
        <v>106</v>
      </c>
      <c r="C25" s="2" t="s">
        <v>10</v>
      </c>
      <c r="D25" s="9">
        <v>920.8</v>
      </c>
      <c r="E25" s="7">
        <v>21.36</v>
      </c>
      <c r="F25" s="8">
        <v>742.95</v>
      </c>
      <c r="G25" s="8">
        <v>17.78</v>
      </c>
    </row>
    <row r="26" spans="1:7" x14ac:dyDescent="0.25">
      <c r="A26" s="1">
        <v>1</v>
      </c>
      <c r="B26" s="1">
        <v>107</v>
      </c>
      <c r="C26" s="2" t="s">
        <v>7</v>
      </c>
      <c r="D26" s="9">
        <v>164.78</v>
      </c>
      <c r="E26" s="7">
        <v>21.42</v>
      </c>
      <c r="F26" s="8">
        <v>116.06</v>
      </c>
      <c r="G26" s="8">
        <v>18.64</v>
      </c>
    </row>
    <row r="27" spans="1:7" x14ac:dyDescent="0.25">
      <c r="A27" s="1">
        <v>1</v>
      </c>
      <c r="B27" s="1">
        <f t="shared" ref="B27:B29" si="5">B26</f>
        <v>107</v>
      </c>
      <c r="C27" s="2" t="s">
        <v>8</v>
      </c>
      <c r="D27" s="9">
        <v>430.58</v>
      </c>
      <c r="E27" s="7">
        <v>21.39</v>
      </c>
      <c r="F27" s="8">
        <v>332.01</v>
      </c>
      <c r="G27" s="8">
        <v>17.989999999999998</v>
      </c>
    </row>
    <row r="28" spans="1:7" x14ac:dyDescent="0.25">
      <c r="A28" s="1">
        <v>1</v>
      </c>
      <c r="B28" s="1">
        <f t="shared" si="5"/>
        <v>107</v>
      </c>
      <c r="C28" s="2" t="s">
        <v>9</v>
      </c>
      <c r="D28" s="9">
        <v>692.47</v>
      </c>
      <c r="E28" s="7">
        <v>21.67</v>
      </c>
      <c r="F28" s="8">
        <v>545.5</v>
      </c>
      <c r="G28" s="8">
        <v>17.989999999999998</v>
      </c>
    </row>
    <row r="29" spans="1:7" x14ac:dyDescent="0.25">
      <c r="A29" s="1">
        <v>1</v>
      </c>
      <c r="B29" s="1">
        <f t="shared" si="5"/>
        <v>107</v>
      </c>
      <c r="C29" s="2" t="s">
        <v>10</v>
      </c>
      <c r="D29" s="9">
        <v>1006.73</v>
      </c>
      <c r="E29" s="7">
        <v>21.42</v>
      </c>
      <c r="F29" s="8">
        <v>806.97</v>
      </c>
      <c r="G29" s="8">
        <v>17.71</v>
      </c>
    </row>
    <row r="30" spans="1:7" x14ac:dyDescent="0.25">
      <c r="A30" s="1">
        <v>1</v>
      </c>
      <c r="B30" s="1">
        <v>108</v>
      </c>
      <c r="C30" s="2" t="s">
        <v>7</v>
      </c>
      <c r="D30" s="9">
        <v>209.64</v>
      </c>
      <c r="E30" s="7">
        <v>21.29</v>
      </c>
      <c r="F30" s="8">
        <v>146.11000000000001</v>
      </c>
      <c r="G30" s="8">
        <v>18.27</v>
      </c>
    </row>
    <row r="31" spans="1:7" x14ac:dyDescent="0.25">
      <c r="A31" s="1">
        <v>1</v>
      </c>
      <c r="B31" s="1">
        <f t="shared" ref="B31:B33" si="6">B30</f>
        <v>108</v>
      </c>
      <c r="C31" s="2" t="s">
        <v>8</v>
      </c>
      <c r="D31" s="9">
        <v>378.67</v>
      </c>
      <c r="E31" s="7">
        <v>21.59</v>
      </c>
      <c r="F31" s="8">
        <v>285.88</v>
      </c>
      <c r="G31" s="8">
        <v>17.97</v>
      </c>
    </row>
    <row r="32" spans="1:7" x14ac:dyDescent="0.25">
      <c r="A32" s="1">
        <v>1</v>
      </c>
      <c r="B32" s="1">
        <f t="shared" si="6"/>
        <v>108</v>
      </c>
      <c r="C32" s="2" t="s">
        <v>9</v>
      </c>
      <c r="D32" s="9">
        <v>752.84</v>
      </c>
      <c r="E32" s="7">
        <v>21.58</v>
      </c>
      <c r="F32" s="8">
        <v>600.04999999999995</v>
      </c>
      <c r="G32" s="8">
        <v>17.88</v>
      </c>
    </row>
    <row r="33" spans="1:7" x14ac:dyDescent="0.25">
      <c r="A33" s="1">
        <v>1</v>
      </c>
      <c r="B33" s="1">
        <f t="shared" si="6"/>
        <v>108</v>
      </c>
      <c r="C33" s="2" t="s">
        <v>10</v>
      </c>
      <c r="D33" s="9">
        <v>808.78</v>
      </c>
      <c r="E33" s="7">
        <v>21.91</v>
      </c>
      <c r="F33" s="8">
        <v>645.33000000000004</v>
      </c>
      <c r="G33" s="8">
        <v>18.11</v>
      </c>
    </row>
    <row r="34" spans="1:7" x14ac:dyDescent="0.25">
      <c r="A34" s="1">
        <v>1</v>
      </c>
      <c r="B34" s="1">
        <v>109</v>
      </c>
      <c r="C34" s="2" t="s">
        <v>7</v>
      </c>
      <c r="D34" s="9">
        <v>168.15</v>
      </c>
      <c r="E34" s="7">
        <v>21.66</v>
      </c>
      <c r="F34" s="8">
        <v>117.29</v>
      </c>
      <c r="G34" s="8">
        <v>18.57</v>
      </c>
    </row>
    <row r="35" spans="1:7" x14ac:dyDescent="0.25">
      <c r="A35" s="1">
        <v>1</v>
      </c>
      <c r="B35" s="1">
        <f t="shared" ref="B35:B37" si="7">B34</f>
        <v>109</v>
      </c>
      <c r="C35" s="2" t="s">
        <v>8</v>
      </c>
      <c r="D35" s="9">
        <v>399.34</v>
      </c>
      <c r="E35" s="7">
        <v>21.63</v>
      </c>
      <c r="F35" s="8">
        <v>313.42</v>
      </c>
      <c r="G35" s="8">
        <v>18.47</v>
      </c>
    </row>
    <row r="36" spans="1:7" x14ac:dyDescent="0.25">
      <c r="A36" s="1">
        <v>1</v>
      </c>
      <c r="B36" s="1">
        <f t="shared" si="7"/>
        <v>109</v>
      </c>
      <c r="C36" s="2" t="s">
        <v>9</v>
      </c>
      <c r="D36" s="9">
        <v>742.36</v>
      </c>
      <c r="E36" s="7">
        <v>21.65</v>
      </c>
      <c r="F36" s="8">
        <v>597.05999999999995</v>
      </c>
      <c r="G36" s="8">
        <v>17.95</v>
      </c>
    </row>
    <row r="37" spans="1:7" x14ac:dyDescent="0.25">
      <c r="A37" s="1">
        <v>1</v>
      </c>
      <c r="B37" s="1">
        <f t="shared" si="7"/>
        <v>109</v>
      </c>
      <c r="C37" s="2" t="s">
        <v>10</v>
      </c>
      <c r="D37" s="9">
        <v>1072.25</v>
      </c>
      <c r="E37" s="7">
        <v>21.64</v>
      </c>
      <c r="F37" s="8">
        <v>877.47</v>
      </c>
      <c r="G37" s="8">
        <v>18.07</v>
      </c>
    </row>
  </sheetData>
  <phoneticPr fontId="2" type="noConversion"/>
  <pageMargins left="0.25" right="0.25" top="0.75" bottom="0.75" header="0.3" footer="0.3"/>
  <pageSetup orientation="portrait" horizontalDpi="300" verticalDpi="300" r:id="rId1"/>
  <ignoredErrors>
    <ignoredError sqref="C3:C37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D141-31AF-4952-B94A-D7C914B07DF6}">
  <sheetPr>
    <pageSetUpPr fitToPage="1"/>
  </sheetPr>
  <dimension ref="A1:G37"/>
  <sheetViews>
    <sheetView topLeftCell="A5" workbookViewId="0">
      <selection activeCell="A2" sqref="A2:G37"/>
    </sheetView>
  </sheetViews>
  <sheetFormatPr baseColWidth="10" defaultColWidth="11.42578125" defaultRowHeight="15" x14ac:dyDescent="0.25"/>
  <cols>
    <col min="3" max="3" width="18.85546875" customWidth="1"/>
    <col min="4" max="5" width="12.85546875" customWidth="1"/>
  </cols>
  <sheetData>
    <row r="1" spans="1:7" ht="51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0" t="s">
        <v>5</v>
      </c>
      <c r="G1" s="10" t="s">
        <v>6</v>
      </c>
    </row>
    <row r="2" spans="1:7" x14ac:dyDescent="0.25">
      <c r="A2" s="1">
        <v>2</v>
      </c>
      <c r="B2" s="1">
        <v>201</v>
      </c>
      <c r="C2" s="2" t="s">
        <v>7</v>
      </c>
      <c r="D2" s="1">
        <v>250.2</v>
      </c>
      <c r="E2" s="9">
        <v>21.44</v>
      </c>
      <c r="F2" s="8">
        <v>188.38</v>
      </c>
      <c r="G2" s="8">
        <v>18.48</v>
      </c>
    </row>
    <row r="3" spans="1:7" x14ac:dyDescent="0.25">
      <c r="A3" s="1">
        <v>2</v>
      </c>
      <c r="B3" s="1">
        <v>201</v>
      </c>
      <c r="C3" s="2" t="s">
        <v>8</v>
      </c>
      <c r="D3" s="1">
        <v>432.86</v>
      </c>
      <c r="E3" s="9">
        <v>21.86</v>
      </c>
      <c r="F3" s="8">
        <v>344.24</v>
      </c>
      <c r="G3" s="8">
        <v>18.809999999999999</v>
      </c>
    </row>
    <row r="4" spans="1:7" x14ac:dyDescent="0.25">
      <c r="A4" s="1">
        <v>2</v>
      </c>
      <c r="B4" s="1">
        <v>201</v>
      </c>
      <c r="C4" s="2" t="s">
        <v>9</v>
      </c>
      <c r="D4" s="1">
        <v>693.88</v>
      </c>
      <c r="E4" s="9">
        <v>21.69</v>
      </c>
      <c r="F4" s="8">
        <v>561.91</v>
      </c>
      <c r="G4" s="8">
        <v>18.43</v>
      </c>
    </row>
    <row r="5" spans="1:7" x14ac:dyDescent="0.25">
      <c r="A5" s="1">
        <v>2</v>
      </c>
      <c r="B5" s="1">
        <v>201</v>
      </c>
      <c r="C5" s="2" t="s">
        <v>10</v>
      </c>
      <c r="D5" s="1">
        <v>1102.05</v>
      </c>
      <c r="E5" s="9">
        <v>21.75</v>
      </c>
      <c r="F5" s="8">
        <v>916.88</v>
      </c>
      <c r="G5" s="8">
        <v>18.43</v>
      </c>
    </row>
    <row r="6" spans="1:7" x14ac:dyDescent="0.25">
      <c r="A6" s="1">
        <v>2</v>
      </c>
      <c r="B6" s="1">
        <v>202</v>
      </c>
      <c r="C6" s="2" t="s">
        <v>7</v>
      </c>
      <c r="D6" s="1">
        <v>224.81</v>
      </c>
      <c r="E6" s="9">
        <v>21.77</v>
      </c>
      <c r="F6" s="8">
        <v>165.55</v>
      </c>
      <c r="G6" s="8">
        <v>18.62</v>
      </c>
    </row>
    <row r="7" spans="1:7" x14ac:dyDescent="0.25">
      <c r="A7" s="1">
        <v>2</v>
      </c>
      <c r="B7" s="1">
        <v>202</v>
      </c>
      <c r="C7" s="2" t="s">
        <v>8</v>
      </c>
      <c r="D7" s="1">
        <v>460.99</v>
      </c>
      <c r="E7" s="9">
        <v>21.83</v>
      </c>
      <c r="F7" s="8">
        <v>368.28</v>
      </c>
      <c r="G7" s="8">
        <v>18.64</v>
      </c>
    </row>
    <row r="8" spans="1:7" x14ac:dyDescent="0.25">
      <c r="A8" s="1">
        <v>2</v>
      </c>
      <c r="B8" s="1">
        <v>202</v>
      </c>
      <c r="C8" s="2" t="s">
        <v>9</v>
      </c>
      <c r="D8" s="1">
        <v>688.02</v>
      </c>
      <c r="E8" s="9">
        <v>21.83</v>
      </c>
      <c r="F8" s="8">
        <v>562.69000000000005</v>
      </c>
      <c r="G8" s="8">
        <v>18.41</v>
      </c>
    </row>
    <row r="9" spans="1:7" x14ac:dyDescent="0.25">
      <c r="A9" s="1">
        <v>2</v>
      </c>
      <c r="B9" s="1">
        <v>202</v>
      </c>
      <c r="C9" s="2" t="s">
        <v>10</v>
      </c>
      <c r="D9" s="1">
        <v>1052.5999999999999</v>
      </c>
      <c r="E9" s="9">
        <v>21.88</v>
      </c>
      <c r="F9" s="8">
        <v>869.64</v>
      </c>
      <c r="G9" s="8">
        <v>18.45</v>
      </c>
    </row>
    <row r="10" spans="1:7" x14ac:dyDescent="0.25">
      <c r="A10" s="1">
        <v>2</v>
      </c>
      <c r="B10" s="1">
        <v>203</v>
      </c>
      <c r="C10" s="2" t="s">
        <v>7</v>
      </c>
      <c r="D10" s="1">
        <v>236.76</v>
      </c>
      <c r="E10" s="9">
        <v>21.65</v>
      </c>
      <c r="F10" s="8">
        <v>174.93</v>
      </c>
      <c r="G10" s="8">
        <v>18.46</v>
      </c>
    </row>
    <row r="11" spans="1:7" x14ac:dyDescent="0.25">
      <c r="A11" s="1">
        <v>2</v>
      </c>
      <c r="B11" s="1">
        <v>203</v>
      </c>
      <c r="C11" s="2" t="s">
        <v>8</v>
      </c>
      <c r="D11" s="1">
        <v>423.93</v>
      </c>
      <c r="E11" s="9">
        <v>21.34</v>
      </c>
      <c r="F11" s="8">
        <v>334.04</v>
      </c>
      <c r="G11" s="8">
        <v>18.09</v>
      </c>
    </row>
    <row r="12" spans="1:7" x14ac:dyDescent="0.25">
      <c r="A12" s="1">
        <v>2</v>
      </c>
      <c r="B12" s="1">
        <v>203</v>
      </c>
      <c r="C12" s="2" t="s">
        <v>9</v>
      </c>
      <c r="D12" s="1">
        <v>671.97</v>
      </c>
      <c r="E12" s="9">
        <v>21.7</v>
      </c>
      <c r="F12" s="8">
        <v>545.07000000000005</v>
      </c>
      <c r="G12" s="8">
        <v>18.09</v>
      </c>
    </row>
    <row r="13" spans="1:7" x14ac:dyDescent="0.25">
      <c r="A13" s="1">
        <v>2</v>
      </c>
      <c r="B13" s="1">
        <v>203</v>
      </c>
      <c r="C13" s="2" t="s">
        <v>10</v>
      </c>
      <c r="D13" s="1">
        <v>1005.88</v>
      </c>
      <c r="E13" s="9">
        <v>21.41</v>
      </c>
      <c r="F13" s="8">
        <v>831.29</v>
      </c>
      <c r="G13" s="8">
        <v>18.059999999999999</v>
      </c>
    </row>
    <row r="14" spans="1:7" x14ac:dyDescent="0.25">
      <c r="A14" s="1">
        <v>2</v>
      </c>
      <c r="B14" s="1">
        <v>204</v>
      </c>
      <c r="C14" s="2" t="s">
        <v>7</v>
      </c>
      <c r="D14" s="1">
        <v>170.18</v>
      </c>
      <c r="E14" s="9">
        <v>21.62</v>
      </c>
      <c r="F14" s="8">
        <v>117.36</v>
      </c>
      <c r="G14" s="8">
        <v>18.62</v>
      </c>
    </row>
    <row r="15" spans="1:7" x14ac:dyDescent="0.25">
      <c r="A15" s="1">
        <v>2</v>
      </c>
      <c r="B15" s="1">
        <v>204</v>
      </c>
      <c r="C15" s="2" t="s">
        <v>8</v>
      </c>
      <c r="D15" s="1">
        <v>264.52</v>
      </c>
      <c r="E15" s="9">
        <v>21.74</v>
      </c>
      <c r="F15" s="8">
        <v>198.99</v>
      </c>
      <c r="G15" s="8">
        <v>18.52</v>
      </c>
    </row>
    <row r="16" spans="1:7" x14ac:dyDescent="0.25">
      <c r="A16" s="1">
        <v>2</v>
      </c>
      <c r="B16" s="1">
        <v>204</v>
      </c>
      <c r="C16" s="2" t="s">
        <v>9</v>
      </c>
      <c r="D16" s="1">
        <v>626.28</v>
      </c>
      <c r="E16" s="9">
        <v>21.61</v>
      </c>
      <c r="F16" s="8">
        <v>496.75</v>
      </c>
      <c r="G16" s="8">
        <v>17.04</v>
      </c>
    </row>
    <row r="17" spans="1:7" x14ac:dyDescent="0.25">
      <c r="A17" s="1">
        <v>2</v>
      </c>
      <c r="B17" s="1">
        <v>204</v>
      </c>
      <c r="C17" s="2" t="s">
        <v>10</v>
      </c>
      <c r="D17" s="1">
        <v>1149.93</v>
      </c>
      <c r="E17" s="9">
        <v>21.47</v>
      </c>
      <c r="F17" s="8">
        <v>939.76</v>
      </c>
      <c r="G17" s="8">
        <v>17.829999999999998</v>
      </c>
    </row>
    <row r="18" spans="1:7" x14ac:dyDescent="0.25">
      <c r="A18" s="1">
        <v>2</v>
      </c>
      <c r="B18" s="1">
        <v>205</v>
      </c>
      <c r="C18" s="2" t="s">
        <v>7</v>
      </c>
      <c r="D18" s="1">
        <v>248.98</v>
      </c>
      <c r="E18" s="9">
        <v>21.33</v>
      </c>
      <c r="F18" s="8">
        <v>184.36</v>
      </c>
      <c r="G18" s="8">
        <v>18.309999999999999</v>
      </c>
    </row>
    <row r="19" spans="1:7" x14ac:dyDescent="0.25">
      <c r="A19" s="1">
        <v>2</v>
      </c>
      <c r="B19" s="1">
        <v>205</v>
      </c>
      <c r="C19" s="2" t="s">
        <v>8</v>
      </c>
      <c r="D19" s="1">
        <v>404.76</v>
      </c>
      <c r="E19" s="9">
        <v>21.43</v>
      </c>
      <c r="F19" s="8">
        <v>316.14</v>
      </c>
      <c r="G19" s="8">
        <v>18.11</v>
      </c>
    </row>
    <row r="20" spans="1:7" x14ac:dyDescent="0.25">
      <c r="A20" s="1">
        <v>2</v>
      </c>
      <c r="B20" s="1">
        <v>205</v>
      </c>
      <c r="C20" s="2" t="s">
        <v>9</v>
      </c>
      <c r="D20" s="1">
        <v>690.05</v>
      </c>
      <c r="E20" s="9">
        <v>21.95</v>
      </c>
      <c r="F20" s="8">
        <v>548.05999999999995</v>
      </c>
      <c r="G20" s="8">
        <v>18.28</v>
      </c>
    </row>
    <row r="21" spans="1:7" x14ac:dyDescent="0.25">
      <c r="A21" s="1">
        <v>2</v>
      </c>
      <c r="B21" s="1">
        <v>205</v>
      </c>
      <c r="C21" s="2" t="s">
        <v>10</v>
      </c>
      <c r="D21" s="1">
        <v>1039.97</v>
      </c>
      <c r="E21" s="9">
        <v>21.61</v>
      </c>
      <c r="F21" s="8">
        <v>839.1</v>
      </c>
      <c r="G21" s="8">
        <v>18</v>
      </c>
    </row>
    <row r="22" spans="1:7" x14ac:dyDescent="0.25">
      <c r="A22" s="1">
        <v>2</v>
      </c>
      <c r="B22" s="1">
        <v>206</v>
      </c>
      <c r="C22" s="2" t="s">
        <v>7</v>
      </c>
      <c r="D22" s="1">
        <v>215.62</v>
      </c>
      <c r="E22" s="9">
        <v>21.63</v>
      </c>
      <c r="F22" s="8">
        <v>155.33000000000001</v>
      </c>
      <c r="G22" s="8">
        <v>18.510000000000002</v>
      </c>
    </row>
    <row r="23" spans="1:7" x14ac:dyDescent="0.25">
      <c r="A23" s="1">
        <v>2</v>
      </c>
      <c r="B23" s="1">
        <v>206</v>
      </c>
      <c r="C23" s="2" t="s">
        <v>8</v>
      </c>
      <c r="D23" s="1">
        <v>319.8</v>
      </c>
      <c r="E23" s="9">
        <v>21.41</v>
      </c>
      <c r="F23" s="8">
        <v>245.86</v>
      </c>
      <c r="G23" s="8">
        <v>18.28</v>
      </c>
    </row>
    <row r="24" spans="1:7" x14ac:dyDescent="0.25">
      <c r="A24" s="1">
        <v>2</v>
      </c>
      <c r="B24" s="1">
        <v>206</v>
      </c>
      <c r="C24" s="2" t="s">
        <v>9</v>
      </c>
      <c r="D24" s="1">
        <v>824.81</v>
      </c>
      <c r="E24" s="9">
        <v>21.21</v>
      </c>
      <c r="F24" s="8">
        <v>666.66</v>
      </c>
      <c r="G24" s="8">
        <v>17.66</v>
      </c>
    </row>
    <row r="25" spans="1:7" x14ac:dyDescent="0.25">
      <c r="A25" s="1">
        <v>2</v>
      </c>
      <c r="B25" s="1">
        <v>206</v>
      </c>
      <c r="C25" s="2" t="s">
        <v>10</v>
      </c>
      <c r="D25" s="1">
        <v>976.39</v>
      </c>
      <c r="E25" s="9">
        <v>21.32</v>
      </c>
      <c r="F25" s="8">
        <v>792.13</v>
      </c>
      <c r="G25" s="8">
        <v>17.71</v>
      </c>
    </row>
    <row r="26" spans="1:7" x14ac:dyDescent="0.25">
      <c r="A26" s="1">
        <v>2</v>
      </c>
      <c r="B26" s="1">
        <v>207</v>
      </c>
      <c r="C26" s="2" t="s">
        <v>7</v>
      </c>
      <c r="D26" s="1">
        <v>240.5</v>
      </c>
      <c r="E26" s="9">
        <v>21.5</v>
      </c>
      <c r="F26" s="8">
        <v>174.07</v>
      </c>
      <c r="G26" s="8">
        <v>16.53</v>
      </c>
    </row>
    <row r="27" spans="1:7" x14ac:dyDescent="0.25">
      <c r="A27" s="1">
        <v>2</v>
      </c>
      <c r="B27" s="1">
        <v>207</v>
      </c>
      <c r="C27" s="2" t="s">
        <v>8</v>
      </c>
      <c r="D27" s="1">
        <v>421.39</v>
      </c>
      <c r="E27" s="9">
        <v>21.43</v>
      </c>
      <c r="F27" s="8">
        <v>325.54000000000002</v>
      </c>
      <c r="G27" s="8">
        <v>18.059999999999999</v>
      </c>
    </row>
    <row r="28" spans="1:7" x14ac:dyDescent="0.25">
      <c r="A28" s="1">
        <v>2</v>
      </c>
      <c r="B28" s="1">
        <v>207</v>
      </c>
      <c r="C28" s="2" t="s">
        <v>9</v>
      </c>
      <c r="D28" s="1">
        <v>688.36</v>
      </c>
      <c r="E28" s="9">
        <v>21.45</v>
      </c>
      <c r="F28" s="8">
        <v>552.58000000000004</v>
      </c>
      <c r="G28" s="8">
        <v>17.98</v>
      </c>
    </row>
    <row r="29" spans="1:7" x14ac:dyDescent="0.25">
      <c r="A29" s="1">
        <v>2</v>
      </c>
      <c r="B29" s="1">
        <v>207</v>
      </c>
      <c r="C29" s="2" t="s">
        <v>10</v>
      </c>
      <c r="D29" s="1">
        <v>1012.83</v>
      </c>
      <c r="E29" s="9">
        <v>21.57</v>
      </c>
      <c r="F29" s="8">
        <v>823.51</v>
      </c>
      <c r="G29" s="8">
        <v>17.98</v>
      </c>
    </row>
    <row r="30" spans="1:7" x14ac:dyDescent="0.25">
      <c r="A30" s="1">
        <v>2</v>
      </c>
      <c r="B30" s="1">
        <v>208</v>
      </c>
      <c r="C30" s="2" t="s">
        <v>7</v>
      </c>
      <c r="D30" s="1">
        <v>262.83</v>
      </c>
      <c r="E30" s="9">
        <v>21.65</v>
      </c>
      <c r="F30" s="8">
        <v>197.46</v>
      </c>
      <c r="G30" s="8">
        <v>18.329999999999998</v>
      </c>
    </row>
    <row r="31" spans="1:7" x14ac:dyDescent="0.25">
      <c r="A31" s="1">
        <v>2</v>
      </c>
      <c r="B31" s="1">
        <v>208</v>
      </c>
      <c r="C31" s="2" t="s">
        <v>8</v>
      </c>
      <c r="D31" s="1">
        <v>388.88</v>
      </c>
      <c r="E31" s="9">
        <v>21.94</v>
      </c>
      <c r="F31" s="8">
        <v>303.58999999999997</v>
      </c>
      <c r="G31" s="8">
        <v>18.440000000000001</v>
      </c>
    </row>
    <row r="32" spans="1:7" x14ac:dyDescent="0.25">
      <c r="A32" s="1">
        <v>2</v>
      </c>
      <c r="B32" s="1">
        <v>208</v>
      </c>
      <c r="C32" s="2" t="s">
        <v>9</v>
      </c>
      <c r="D32" s="1">
        <v>673.49</v>
      </c>
      <c r="E32" s="9">
        <v>21.88</v>
      </c>
      <c r="F32" s="8">
        <v>548.19000000000005</v>
      </c>
      <c r="G32" s="8">
        <v>18.39</v>
      </c>
    </row>
    <row r="33" spans="1:7" x14ac:dyDescent="0.25">
      <c r="A33" s="1">
        <v>2</v>
      </c>
      <c r="B33" s="1">
        <v>208</v>
      </c>
      <c r="C33" s="2" t="s">
        <v>10</v>
      </c>
      <c r="D33" s="1">
        <v>1031.46</v>
      </c>
      <c r="E33" s="9">
        <v>21.27</v>
      </c>
      <c r="F33" s="8">
        <v>848.74</v>
      </c>
      <c r="G33" s="8">
        <v>17.84</v>
      </c>
    </row>
    <row r="34" spans="1:7" x14ac:dyDescent="0.25">
      <c r="A34" s="1">
        <v>2</v>
      </c>
      <c r="B34" s="1">
        <v>209</v>
      </c>
      <c r="C34" s="2" t="s">
        <v>7</v>
      </c>
      <c r="D34" s="1">
        <v>243.47</v>
      </c>
      <c r="E34" s="9">
        <v>21.71</v>
      </c>
      <c r="F34" s="8">
        <v>174.29</v>
      </c>
      <c r="G34" s="8">
        <v>17.98</v>
      </c>
    </row>
    <row r="35" spans="1:7" x14ac:dyDescent="0.25">
      <c r="A35" s="1">
        <v>2</v>
      </c>
      <c r="B35" s="1">
        <v>209</v>
      </c>
      <c r="C35" s="2" t="s">
        <v>8</v>
      </c>
      <c r="D35" s="1">
        <v>435.53</v>
      </c>
      <c r="E35" s="9">
        <v>21.24</v>
      </c>
      <c r="F35" s="8">
        <v>336.51</v>
      </c>
      <c r="G35" s="8">
        <v>17.63</v>
      </c>
    </row>
    <row r="36" spans="1:7" x14ac:dyDescent="0.25">
      <c r="A36" s="1">
        <v>2</v>
      </c>
      <c r="B36" s="1">
        <v>209</v>
      </c>
      <c r="C36" s="2" t="s">
        <v>9</v>
      </c>
      <c r="D36" s="1">
        <v>690.78</v>
      </c>
      <c r="E36" s="9">
        <v>21.82</v>
      </c>
      <c r="F36" s="8">
        <v>552.21</v>
      </c>
      <c r="G36" s="8">
        <v>18.27</v>
      </c>
    </row>
    <row r="37" spans="1:7" x14ac:dyDescent="0.25">
      <c r="A37" s="1">
        <v>2</v>
      </c>
      <c r="B37" s="1">
        <v>209</v>
      </c>
      <c r="C37" s="2" t="s">
        <v>10</v>
      </c>
      <c r="D37" s="1">
        <v>1015.47</v>
      </c>
      <c r="E37" s="9">
        <v>21.61</v>
      </c>
      <c r="F37" s="8">
        <v>822.46</v>
      </c>
      <c r="G37" s="8">
        <v>17.989999999999998</v>
      </c>
    </row>
  </sheetData>
  <pageMargins left="0.25" right="0.25" top="0.75" bottom="0.75" header="0.3" footer="0.3"/>
  <pageSetup orientation="portrait" r:id="rId1"/>
  <ignoredErrors>
    <ignoredError sqref="C3:C3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36F6-CCC1-4E08-A120-996AC01ED6CF}">
  <sheetPr>
    <pageSetUpPr fitToPage="1"/>
  </sheetPr>
  <dimension ref="A1:G38"/>
  <sheetViews>
    <sheetView topLeftCell="A5" workbookViewId="0">
      <selection activeCell="A2" sqref="A2:G37"/>
    </sheetView>
  </sheetViews>
  <sheetFormatPr baseColWidth="10" defaultColWidth="11.42578125" defaultRowHeight="15" x14ac:dyDescent="0.25"/>
  <cols>
    <col min="3" max="3" width="18.85546875" customWidth="1"/>
    <col min="4" max="5" width="12.85546875" customWidth="1"/>
  </cols>
  <sheetData>
    <row r="1" spans="1:7" ht="51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0" t="s">
        <v>5</v>
      </c>
      <c r="G1" s="10" t="s">
        <v>6</v>
      </c>
    </row>
    <row r="2" spans="1:7" x14ac:dyDescent="0.25">
      <c r="A2" s="1">
        <v>3</v>
      </c>
      <c r="B2" s="1">
        <v>301</v>
      </c>
      <c r="C2" s="2" t="s">
        <v>7</v>
      </c>
      <c r="D2" s="1">
        <v>256.77</v>
      </c>
      <c r="E2" s="9">
        <v>21.69</v>
      </c>
      <c r="F2" s="8">
        <v>190.71</v>
      </c>
      <c r="G2" s="8">
        <v>18.5</v>
      </c>
    </row>
    <row r="3" spans="1:7" x14ac:dyDescent="0.25">
      <c r="A3" s="1">
        <v>3</v>
      </c>
      <c r="B3" s="1">
        <v>301</v>
      </c>
      <c r="C3" s="2" t="s">
        <v>8</v>
      </c>
      <c r="D3" s="1">
        <v>458.43</v>
      </c>
      <c r="E3" s="9">
        <v>21.74</v>
      </c>
      <c r="F3" s="8">
        <v>365.76</v>
      </c>
      <c r="G3" s="8">
        <v>18.55</v>
      </c>
    </row>
    <row r="4" spans="1:7" x14ac:dyDescent="0.25">
      <c r="A4" s="1">
        <v>3</v>
      </c>
      <c r="B4" s="1">
        <v>301</v>
      </c>
      <c r="C4" s="2" t="s">
        <v>9</v>
      </c>
      <c r="D4" s="1">
        <v>734.56</v>
      </c>
      <c r="E4" s="9">
        <v>21.6</v>
      </c>
      <c r="F4" s="8">
        <v>598.12</v>
      </c>
      <c r="G4" s="8">
        <v>18.190000000000001</v>
      </c>
    </row>
    <row r="5" spans="1:7" x14ac:dyDescent="0.25">
      <c r="A5" s="1">
        <v>3</v>
      </c>
      <c r="B5" s="1">
        <v>301</v>
      </c>
      <c r="C5" s="2" t="s">
        <v>10</v>
      </c>
      <c r="D5" s="1">
        <v>1003.37</v>
      </c>
      <c r="E5" s="9">
        <v>21.78</v>
      </c>
      <c r="F5" s="8">
        <v>819.38</v>
      </c>
      <c r="G5" s="8">
        <v>18.03</v>
      </c>
    </row>
    <row r="6" spans="1:7" x14ac:dyDescent="0.25">
      <c r="A6" s="1">
        <v>3</v>
      </c>
      <c r="B6" s="1">
        <v>302</v>
      </c>
      <c r="C6" s="2" t="s">
        <v>7</v>
      </c>
      <c r="D6" s="1">
        <v>275.51</v>
      </c>
      <c r="E6" s="9">
        <v>21.82</v>
      </c>
      <c r="F6" s="8">
        <v>206.6</v>
      </c>
      <c r="G6" s="8">
        <v>18.309999999999999</v>
      </c>
    </row>
    <row r="7" spans="1:7" x14ac:dyDescent="0.25">
      <c r="A7" s="1">
        <v>3</v>
      </c>
      <c r="B7" s="1">
        <v>302</v>
      </c>
      <c r="C7" s="2" t="s">
        <v>8</v>
      </c>
      <c r="D7" s="1">
        <v>429.35</v>
      </c>
      <c r="E7" s="9">
        <v>21.7</v>
      </c>
      <c r="F7" s="8">
        <v>339.43</v>
      </c>
      <c r="G7" s="8">
        <v>18.489999999999998</v>
      </c>
    </row>
    <row r="8" spans="1:7" x14ac:dyDescent="0.25">
      <c r="A8" s="1">
        <v>3</v>
      </c>
      <c r="B8" s="1">
        <v>302</v>
      </c>
      <c r="C8" s="2" t="s">
        <v>9</v>
      </c>
      <c r="D8" s="1">
        <v>744.81</v>
      </c>
      <c r="E8" s="9">
        <v>21.73</v>
      </c>
      <c r="F8" s="8">
        <v>609.5</v>
      </c>
      <c r="G8" s="8">
        <v>18.41</v>
      </c>
    </row>
    <row r="9" spans="1:7" x14ac:dyDescent="0.25">
      <c r="A9" s="1">
        <v>3</v>
      </c>
      <c r="B9" s="1">
        <v>302</v>
      </c>
      <c r="C9" s="2" t="s">
        <v>10</v>
      </c>
      <c r="D9" s="1">
        <v>980.76</v>
      </c>
      <c r="E9" s="9">
        <v>21.84</v>
      </c>
      <c r="F9" s="8">
        <v>802.79</v>
      </c>
      <c r="G9" s="8">
        <v>18.18</v>
      </c>
    </row>
    <row r="10" spans="1:7" x14ac:dyDescent="0.25">
      <c r="A10" s="1">
        <v>3</v>
      </c>
      <c r="B10" s="1">
        <v>303</v>
      </c>
      <c r="C10" s="2" t="s">
        <v>7</v>
      </c>
      <c r="D10" s="1">
        <v>244.58</v>
      </c>
      <c r="E10" s="9">
        <v>21.64</v>
      </c>
      <c r="F10" s="8">
        <v>180.71</v>
      </c>
      <c r="G10" s="8">
        <v>18.52</v>
      </c>
    </row>
    <row r="11" spans="1:7" x14ac:dyDescent="0.25">
      <c r="A11" s="1">
        <v>3</v>
      </c>
      <c r="B11" s="1">
        <v>303</v>
      </c>
      <c r="C11" s="2" t="s">
        <v>8</v>
      </c>
      <c r="D11" s="1">
        <v>328.63</v>
      </c>
      <c r="E11" s="9">
        <v>21.82</v>
      </c>
      <c r="F11" s="8">
        <v>254.54</v>
      </c>
      <c r="G11" s="8">
        <v>18.559999999999999</v>
      </c>
    </row>
    <row r="12" spans="1:7" x14ac:dyDescent="0.25">
      <c r="A12" s="1">
        <v>3</v>
      </c>
      <c r="B12" s="1">
        <v>303</v>
      </c>
      <c r="C12" s="2" t="s">
        <v>9</v>
      </c>
      <c r="D12" s="1">
        <v>699.65</v>
      </c>
      <c r="E12" s="9">
        <v>21.6</v>
      </c>
      <c r="F12" s="8">
        <v>575.9</v>
      </c>
      <c r="G12" s="8">
        <v>18.32</v>
      </c>
    </row>
    <row r="13" spans="1:7" x14ac:dyDescent="0.25">
      <c r="A13" s="1">
        <v>3</v>
      </c>
      <c r="B13" s="1">
        <v>303</v>
      </c>
      <c r="C13" s="2" t="s">
        <v>10</v>
      </c>
      <c r="D13" s="1">
        <v>1167.5</v>
      </c>
      <c r="E13" s="9">
        <v>21.73</v>
      </c>
      <c r="F13" s="8">
        <v>964.42</v>
      </c>
      <c r="G13" s="8">
        <v>17.989999999999998</v>
      </c>
    </row>
    <row r="14" spans="1:7" x14ac:dyDescent="0.25">
      <c r="A14" s="1">
        <v>3</v>
      </c>
      <c r="B14" s="1">
        <v>304</v>
      </c>
      <c r="C14" s="2" t="s">
        <v>7</v>
      </c>
      <c r="D14" s="1">
        <v>233.75</v>
      </c>
      <c r="E14" s="9">
        <v>21.74</v>
      </c>
      <c r="F14" s="8">
        <v>165.7</v>
      </c>
      <c r="G14" s="8">
        <v>17.77</v>
      </c>
    </row>
    <row r="15" spans="1:7" x14ac:dyDescent="0.25">
      <c r="A15" s="1">
        <v>3</v>
      </c>
      <c r="B15" s="1">
        <v>304</v>
      </c>
      <c r="C15" s="2" t="s">
        <v>8</v>
      </c>
      <c r="D15" s="1">
        <v>411.63</v>
      </c>
      <c r="E15" s="9">
        <v>21.42</v>
      </c>
      <c r="F15" s="8">
        <v>324.73</v>
      </c>
      <c r="G15" s="8">
        <v>18.18</v>
      </c>
    </row>
    <row r="16" spans="1:7" x14ac:dyDescent="0.25">
      <c r="A16" s="1">
        <v>3</v>
      </c>
      <c r="B16" s="1">
        <v>304</v>
      </c>
      <c r="C16" s="2" t="s">
        <v>9</v>
      </c>
      <c r="D16" s="1">
        <v>697.92</v>
      </c>
      <c r="E16" s="9">
        <v>21.83</v>
      </c>
      <c r="F16" s="8">
        <v>578.26</v>
      </c>
      <c r="G16" s="8">
        <v>18.68</v>
      </c>
    </row>
    <row r="17" spans="1:7" x14ac:dyDescent="0.25">
      <c r="A17" s="1">
        <v>3</v>
      </c>
      <c r="B17" s="1">
        <v>304</v>
      </c>
      <c r="C17" s="2" t="s">
        <v>10</v>
      </c>
      <c r="D17" s="1">
        <v>934.87</v>
      </c>
      <c r="E17" s="9">
        <v>21.36</v>
      </c>
      <c r="F17" s="8">
        <v>768.76</v>
      </c>
      <c r="G17" s="8">
        <v>17.89</v>
      </c>
    </row>
    <row r="18" spans="1:7" x14ac:dyDescent="0.25">
      <c r="A18" s="1">
        <v>3</v>
      </c>
      <c r="B18" s="1">
        <v>305</v>
      </c>
      <c r="C18" s="2" t="s">
        <v>7</v>
      </c>
      <c r="D18" s="1">
        <v>192.99</v>
      </c>
      <c r="E18" s="9">
        <v>21.83</v>
      </c>
      <c r="F18" s="8">
        <v>128.63999999999999</v>
      </c>
      <c r="G18" s="8">
        <v>17.52</v>
      </c>
    </row>
    <row r="19" spans="1:7" x14ac:dyDescent="0.25">
      <c r="A19" s="1">
        <v>3</v>
      </c>
      <c r="B19" s="1">
        <v>305</v>
      </c>
      <c r="C19" s="2" t="s">
        <v>8</v>
      </c>
      <c r="D19" s="1">
        <v>379.54</v>
      </c>
      <c r="E19" s="9">
        <v>21.87</v>
      </c>
      <c r="F19" s="8">
        <v>291.79000000000002</v>
      </c>
      <c r="G19" s="8">
        <v>18.21</v>
      </c>
    </row>
    <row r="20" spans="1:7" x14ac:dyDescent="0.25">
      <c r="A20" s="1">
        <v>3</v>
      </c>
      <c r="B20" s="1">
        <v>305</v>
      </c>
      <c r="C20" s="2" t="s">
        <v>9</v>
      </c>
      <c r="D20" s="1">
        <v>697.26</v>
      </c>
      <c r="E20" s="9">
        <v>21.56</v>
      </c>
      <c r="F20" s="8">
        <v>571.23</v>
      </c>
      <c r="G20" s="8">
        <v>18.3</v>
      </c>
    </row>
    <row r="21" spans="1:7" x14ac:dyDescent="0.25">
      <c r="A21" s="1">
        <v>3</v>
      </c>
      <c r="B21" s="1">
        <v>305</v>
      </c>
      <c r="C21" s="2" t="s">
        <v>10</v>
      </c>
      <c r="D21" s="1">
        <v>951.86</v>
      </c>
      <c r="E21" s="9">
        <v>21.68</v>
      </c>
      <c r="F21" s="8">
        <v>778.65</v>
      </c>
      <c r="G21" s="8">
        <v>17.97</v>
      </c>
    </row>
    <row r="22" spans="1:7" x14ac:dyDescent="0.25">
      <c r="A22" s="1">
        <v>3</v>
      </c>
      <c r="B22" s="1">
        <v>306</v>
      </c>
      <c r="C22" s="2" t="s">
        <v>7</v>
      </c>
      <c r="D22" s="1">
        <v>210.4</v>
      </c>
      <c r="E22" s="9">
        <v>21.36</v>
      </c>
      <c r="F22" s="8">
        <v>147.75</v>
      </c>
      <c r="G22" s="8">
        <v>17.559999999999999</v>
      </c>
    </row>
    <row r="23" spans="1:7" x14ac:dyDescent="0.25">
      <c r="A23" s="1">
        <v>3</v>
      </c>
      <c r="B23" s="1">
        <v>306</v>
      </c>
      <c r="C23" s="2" t="s">
        <v>8</v>
      </c>
      <c r="D23" s="1">
        <v>377.17</v>
      </c>
      <c r="E23" s="9">
        <v>21.74</v>
      </c>
      <c r="F23" s="8">
        <v>293.32</v>
      </c>
      <c r="G23" s="8">
        <v>18.37</v>
      </c>
    </row>
    <row r="24" spans="1:7" x14ac:dyDescent="0.25">
      <c r="A24" s="1">
        <v>3</v>
      </c>
      <c r="B24" s="1">
        <v>306</v>
      </c>
      <c r="C24" s="2" t="s">
        <v>9</v>
      </c>
      <c r="D24" s="1">
        <v>699.78</v>
      </c>
      <c r="E24" s="9">
        <v>21.25</v>
      </c>
      <c r="F24" s="8">
        <v>578.99</v>
      </c>
      <c r="G24" s="8">
        <v>17.989999999999998</v>
      </c>
    </row>
    <row r="25" spans="1:7" x14ac:dyDescent="0.25">
      <c r="A25" s="1">
        <v>3</v>
      </c>
      <c r="B25" s="1">
        <v>306</v>
      </c>
      <c r="C25" s="2" t="s">
        <v>10</v>
      </c>
      <c r="D25" s="1">
        <v>984.82</v>
      </c>
      <c r="E25" s="9">
        <v>21.56</v>
      </c>
      <c r="F25" s="8">
        <v>810.02</v>
      </c>
      <c r="G25" s="8">
        <v>17.97</v>
      </c>
    </row>
    <row r="26" spans="1:7" x14ac:dyDescent="0.25">
      <c r="A26" s="1">
        <v>3</v>
      </c>
      <c r="B26" s="1">
        <v>307</v>
      </c>
      <c r="C26" s="2" t="s">
        <v>7</v>
      </c>
      <c r="D26" s="1">
        <v>234.8</v>
      </c>
      <c r="E26" s="9">
        <v>21.71</v>
      </c>
      <c r="F26" s="8">
        <v>163.54</v>
      </c>
      <c r="G26" s="8">
        <v>17.670000000000002</v>
      </c>
    </row>
    <row r="27" spans="1:7" x14ac:dyDescent="0.25">
      <c r="A27" s="1">
        <v>3</v>
      </c>
      <c r="B27" s="1">
        <v>307</v>
      </c>
      <c r="C27" s="2" t="s">
        <v>8</v>
      </c>
      <c r="D27" s="1">
        <v>387.48</v>
      </c>
      <c r="E27" s="9">
        <v>21.51</v>
      </c>
      <c r="F27" s="8">
        <v>296.68</v>
      </c>
      <c r="G27" s="8">
        <v>18.14</v>
      </c>
    </row>
    <row r="28" spans="1:7" x14ac:dyDescent="0.25">
      <c r="A28" s="1">
        <v>3</v>
      </c>
      <c r="B28" s="1">
        <v>307</v>
      </c>
      <c r="C28" s="2" t="s">
        <v>9</v>
      </c>
      <c r="D28" s="1">
        <v>663.81</v>
      </c>
      <c r="E28" s="9">
        <v>21.3</v>
      </c>
      <c r="F28" s="8">
        <v>540.20000000000005</v>
      </c>
      <c r="G28" s="8">
        <v>17.97</v>
      </c>
    </row>
    <row r="29" spans="1:7" x14ac:dyDescent="0.25">
      <c r="A29" s="1">
        <v>3</v>
      </c>
      <c r="B29" s="1">
        <v>307</v>
      </c>
      <c r="C29" s="2" t="s">
        <v>10</v>
      </c>
      <c r="D29" s="1">
        <v>966.77</v>
      </c>
      <c r="E29" s="9">
        <v>21.28</v>
      </c>
      <c r="F29" s="8">
        <v>803</v>
      </c>
      <c r="G29" s="8">
        <v>17.89</v>
      </c>
    </row>
    <row r="30" spans="1:7" x14ac:dyDescent="0.25">
      <c r="A30" s="1">
        <v>3</v>
      </c>
      <c r="B30" s="1">
        <v>308</v>
      </c>
      <c r="C30" s="2" t="s">
        <v>7</v>
      </c>
      <c r="D30" s="1">
        <v>196.16</v>
      </c>
      <c r="E30" s="9">
        <v>21.42</v>
      </c>
      <c r="F30" s="8">
        <v>136.12</v>
      </c>
      <c r="G30" s="8">
        <v>18.03</v>
      </c>
    </row>
    <row r="31" spans="1:7" x14ac:dyDescent="0.25">
      <c r="A31" s="1">
        <v>3</v>
      </c>
      <c r="B31" s="1">
        <v>308</v>
      </c>
      <c r="C31" s="2" t="s">
        <v>8</v>
      </c>
      <c r="D31" s="1">
        <v>396.04</v>
      </c>
      <c r="E31" s="9">
        <v>21.75</v>
      </c>
      <c r="F31" s="8">
        <v>312.75</v>
      </c>
      <c r="G31" s="8">
        <v>18.510000000000002</v>
      </c>
    </row>
    <row r="32" spans="1:7" x14ac:dyDescent="0.25">
      <c r="A32" s="1">
        <v>3</v>
      </c>
      <c r="B32" s="1">
        <v>308</v>
      </c>
      <c r="C32" s="2" t="s">
        <v>9</v>
      </c>
      <c r="D32" s="1">
        <v>686.18</v>
      </c>
      <c r="E32" s="9">
        <v>21.92</v>
      </c>
      <c r="F32" s="8">
        <v>526.76</v>
      </c>
      <c r="G32" s="8">
        <v>18.64</v>
      </c>
    </row>
    <row r="33" spans="1:7" x14ac:dyDescent="0.25">
      <c r="A33" s="1">
        <v>3</v>
      </c>
      <c r="B33" s="1">
        <v>308</v>
      </c>
      <c r="C33" s="2" t="s">
        <v>10</v>
      </c>
      <c r="D33" s="1">
        <v>969.51</v>
      </c>
      <c r="E33" s="9">
        <v>21.48</v>
      </c>
      <c r="F33" s="8">
        <v>805.28</v>
      </c>
      <c r="G33" s="8">
        <v>18.09</v>
      </c>
    </row>
    <row r="34" spans="1:7" x14ac:dyDescent="0.25">
      <c r="A34" s="1">
        <v>3</v>
      </c>
      <c r="B34" s="1">
        <v>309</v>
      </c>
      <c r="C34" s="2" t="s">
        <v>7</v>
      </c>
      <c r="D34" s="1">
        <v>221.94</v>
      </c>
      <c r="E34" s="9">
        <v>21.52</v>
      </c>
      <c r="F34" s="8">
        <v>154</v>
      </c>
      <c r="G34" s="8">
        <v>18.22</v>
      </c>
    </row>
    <row r="35" spans="1:7" x14ac:dyDescent="0.25">
      <c r="A35" s="1">
        <v>3</v>
      </c>
      <c r="B35" s="1">
        <v>309</v>
      </c>
      <c r="C35" s="2" t="s">
        <v>8</v>
      </c>
      <c r="D35" s="1">
        <v>458.12</v>
      </c>
      <c r="E35" s="9">
        <v>21.93</v>
      </c>
      <c r="F35" s="8">
        <v>358.23</v>
      </c>
      <c r="G35" s="8">
        <v>18.29</v>
      </c>
    </row>
    <row r="36" spans="1:7" x14ac:dyDescent="0.25">
      <c r="A36" s="1">
        <v>3</v>
      </c>
      <c r="B36" s="1">
        <v>309</v>
      </c>
      <c r="C36" s="2" t="s">
        <v>9</v>
      </c>
      <c r="D36" s="1">
        <v>680</v>
      </c>
      <c r="E36" s="12">
        <v>21.74</v>
      </c>
      <c r="F36" s="8">
        <v>551.4</v>
      </c>
      <c r="G36" s="8">
        <v>18.2</v>
      </c>
    </row>
    <row r="37" spans="1:7" x14ac:dyDescent="0.25">
      <c r="A37" s="1">
        <v>3</v>
      </c>
      <c r="B37" s="1">
        <v>309</v>
      </c>
      <c r="C37" s="2" t="s">
        <v>10</v>
      </c>
      <c r="D37" s="9">
        <v>948.68</v>
      </c>
      <c r="E37" s="7">
        <v>21.58</v>
      </c>
      <c r="F37" s="13">
        <v>778.78</v>
      </c>
      <c r="G37" s="8">
        <v>17.93</v>
      </c>
    </row>
    <row r="38" spans="1:7" x14ac:dyDescent="0.25">
      <c r="E38" s="11"/>
    </row>
  </sheetData>
  <pageMargins left="0.25" right="0.25" top="0.75" bottom="0.75" header="0.3" footer="0.3"/>
  <pageSetup orientation="portrait" r:id="rId1"/>
  <ignoredErrors>
    <ignoredError sqref="C3:C37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D7E8-C4B2-4C70-9C92-18486A2A51DF}">
  <sheetPr>
    <pageSetUpPr fitToPage="1"/>
  </sheetPr>
  <dimension ref="A1:P37"/>
  <sheetViews>
    <sheetView workbookViewId="0">
      <selection activeCell="O2" sqref="O2:P7"/>
    </sheetView>
  </sheetViews>
  <sheetFormatPr baseColWidth="10" defaultColWidth="11.42578125" defaultRowHeight="15" x14ac:dyDescent="0.25"/>
  <cols>
    <col min="3" max="3" width="18.85546875" customWidth="1"/>
    <col min="4" max="5" width="12.85546875" customWidth="1"/>
    <col min="15" max="15" width="23.140625" customWidth="1"/>
  </cols>
  <sheetData>
    <row r="1" spans="1:16" ht="51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6" t="s">
        <v>4</v>
      </c>
      <c r="F1" s="10" t="s">
        <v>5</v>
      </c>
      <c r="G1" s="10" t="s">
        <v>6</v>
      </c>
    </row>
    <row r="2" spans="1:16" x14ac:dyDescent="0.25">
      <c r="A2" s="1">
        <v>4</v>
      </c>
      <c r="B2" s="1">
        <v>401</v>
      </c>
      <c r="C2" s="2" t="s">
        <v>7</v>
      </c>
      <c r="D2" s="1">
        <v>279.35000000000002</v>
      </c>
      <c r="E2" s="9">
        <v>21.65</v>
      </c>
      <c r="F2" s="8">
        <v>208.59</v>
      </c>
      <c r="G2" s="8">
        <v>18.32</v>
      </c>
      <c r="O2" s="17" t="s">
        <v>11</v>
      </c>
      <c r="P2" s="16">
        <v>296.68</v>
      </c>
    </row>
    <row r="3" spans="1:16" x14ac:dyDescent="0.25">
      <c r="A3" s="1">
        <v>4</v>
      </c>
      <c r="B3" s="1">
        <v>401</v>
      </c>
      <c r="C3" s="2" t="s">
        <v>8</v>
      </c>
      <c r="D3" s="1">
        <v>315.39999999999998</v>
      </c>
      <c r="E3" s="9">
        <v>21.63</v>
      </c>
      <c r="F3" s="8">
        <v>243.82</v>
      </c>
      <c r="G3" s="8">
        <v>18.53</v>
      </c>
      <c r="O3" s="17" t="s">
        <v>12</v>
      </c>
      <c r="P3" s="16">
        <v>29.667999999999999</v>
      </c>
    </row>
    <row r="4" spans="1:16" x14ac:dyDescent="0.25">
      <c r="A4" s="1">
        <v>4</v>
      </c>
      <c r="B4" s="1">
        <v>401</v>
      </c>
      <c r="C4" s="2" t="s">
        <v>9</v>
      </c>
      <c r="D4" s="1">
        <v>800.84</v>
      </c>
      <c r="E4" s="9">
        <v>21.65</v>
      </c>
      <c r="F4" s="8">
        <v>661.43</v>
      </c>
      <c r="G4" s="8">
        <v>18.36</v>
      </c>
      <c r="O4" s="17" t="s">
        <v>13</v>
      </c>
      <c r="P4" s="16">
        <v>16.260000000000002</v>
      </c>
    </row>
    <row r="5" spans="1:16" x14ac:dyDescent="0.25">
      <c r="A5" s="1">
        <v>4</v>
      </c>
      <c r="B5" s="1">
        <v>401</v>
      </c>
      <c r="C5" s="2" t="s">
        <v>10</v>
      </c>
      <c r="D5" s="1">
        <v>1051.04</v>
      </c>
      <c r="E5" s="9">
        <v>21.35</v>
      </c>
      <c r="F5" s="8">
        <v>874.9</v>
      </c>
      <c r="G5" s="8">
        <v>17.96</v>
      </c>
      <c r="O5" s="17" t="s">
        <v>14</v>
      </c>
      <c r="P5" s="16">
        <v>1.6259999999999999</v>
      </c>
    </row>
    <row r="6" spans="1:16" x14ac:dyDescent="0.25">
      <c r="A6" s="1">
        <v>4</v>
      </c>
      <c r="B6" s="1">
        <v>402</v>
      </c>
      <c r="C6" s="2" t="s">
        <v>7</v>
      </c>
      <c r="D6" s="1">
        <v>240.44</v>
      </c>
      <c r="E6" s="9">
        <v>21.63</v>
      </c>
      <c r="F6" s="8">
        <v>175.15</v>
      </c>
      <c r="G6" s="8">
        <v>18.2</v>
      </c>
      <c r="O6" s="14" t="s">
        <v>15</v>
      </c>
      <c r="P6" s="15">
        <v>202.62</v>
      </c>
    </row>
    <row r="7" spans="1:16" ht="30" x14ac:dyDescent="0.25">
      <c r="A7" s="1">
        <v>4</v>
      </c>
      <c r="B7" s="1">
        <v>402</v>
      </c>
      <c r="C7" s="2" t="s">
        <v>8</v>
      </c>
      <c r="D7" s="1">
        <v>447.79</v>
      </c>
      <c r="E7" s="9">
        <v>21.85</v>
      </c>
      <c r="F7" s="8">
        <v>355.48</v>
      </c>
      <c r="G7" s="8">
        <v>18.32</v>
      </c>
      <c r="O7" s="14" t="s">
        <v>16</v>
      </c>
      <c r="P7" s="15">
        <v>10.11</v>
      </c>
    </row>
    <row r="8" spans="1:16" x14ac:dyDescent="0.25">
      <c r="A8" s="1">
        <v>4</v>
      </c>
      <c r="B8" s="1">
        <v>402</v>
      </c>
      <c r="C8" s="2" t="s">
        <v>9</v>
      </c>
      <c r="D8" s="1">
        <v>670.82</v>
      </c>
      <c r="E8" s="9">
        <v>21.93</v>
      </c>
      <c r="F8" s="8">
        <v>552.20000000000005</v>
      </c>
      <c r="G8" s="8">
        <v>18.68</v>
      </c>
    </row>
    <row r="9" spans="1:16" x14ac:dyDescent="0.25">
      <c r="A9" s="1">
        <v>4</v>
      </c>
      <c r="B9" s="1">
        <v>402</v>
      </c>
      <c r="C9" s="2" t="s">
        <v>10</v>
      </c>
      <c r="D9" s="1">
        <v>1007.56</v>
      </c>
      <c r="E9" s="9">
        <v>21.78</v>
      </c>
      <c r="F9" s="8">
        <v>842.96</v>
      </c>
      <c r="G9" s="8">
        <v>18.46</v>
      </c>
    </row>
    <row r="10" spans="1:16" x14ac:dyDescent="0.25">
      <c r="A10" s="1">
        <v>4</v>
      </c>
      <c r="B10" s="1">
        <v>403</v>
      </c>
      <c r="C10" s="2" t="s">
        <v>7</v>
      </c>
      <c r="D10" s="1">
        <v>30.92</v>
      </c>
      <c r="E10" s="9">
        <v>21.37</v>
      </c>
      <c r="F10" s="8">
        <v>220.72</v>
      </c>
      <c r="G10" s="8">
        <v>17.739999999999998</v>
      </c>
    </row>
    <row r="11" spans="1:16" x14ac:dyDescent="0.25">
      <c r="A11" s="1">
        <v>4</v>
      </c>
      <c r="B11" s="1">
        <v>403</v>
      </c>
      <c r="C11" s="2" t="s">
        <v>8</v>
      </c>
      <c r="D11" s="1">
        <v>431.63</v>
      </c>
      <c r="E11" s="9">
        <v>21.73</v>
      </c>
      <c r="F11" s="8">
        <v>336.59</v>
      </c>
      <c r="G11" s="8">
        <v>18.37</v>
      </c>
    </row>
    <row r="12" spans="1:16" x14ac:dyDescent="0.25">
      <c r="A12" s="1">
        <v>4</v>
      </c>
      <c r="B12" s="1">
        <v>403</v>
      </c>
      <c r="C12" s="2" t="s">
        <v>9</v>
      </c>
      <c r="D12" s="1">
        <v>723.55</v>
      </c>
      <c r="E12" s="9">
        <v>21.6</v>
      </c>
      <c r="F12" s="8">
        <v>596.76</v>
      </c>
      <c r="G12" s="8">
        <v>18.39</v>
      </c>
    </row>
    <row r="13" spans="1:16" x14ac:dyDescent="0.25">
      <c r="A13" s="1">
        <v>4</v>
      </c>
      <c r="B13" s="1">
        <v>403</v>
      </c>
      <c r="C13" s="2" t="s">
        <v>10</v>
      </c>
      <c r="D13" s="1">
        <v>1011.64</v>
      </c>
      <c r="E13" s="9">
        <v>21.94</v>
      </c>
      <c r="F13" s="8">
        <v>842.9</v>
      </c>
      <c r="G13" s="8">
        <v>18.55</v>
      </c>
    </row>
    <row r="14" spans="1:16" x14ac:dyDescent="0.25">
      <c r="A14" s="1">
        <v>4</v>
      </c>
      <c r="B14" s="1">
        <v>404</v>
      </c>
      <c r="C14" s="2" t="s">
        <v>7</v>
      </c>
      <c r="D14" s="1">
        <v>295.02</v>
      </c>
      <c r="E14" s="9">
        <v>21.61</v>
      </c>
      <c r="F14" s="8">
        <v>216.49</v>
      </c>
      <c r="G14" s="8">
        <v>18.23</v>
      </c>
    </row>
    <row r="15" spans="1:16" x14ac:dyDescent="0.25">
      <c r="A15" s="1">
        <v>4</v>
      </c>
      <c r="B15" s="1">
        <v>404</v>
      </c>
      <c r="C15" s="2" t="s">
        <v>8</v>
      </c>
      <c r="D15" s="1">
        <v>377.93</v>
      </c>
      <c r="E15" s="9">
        <v>21.63</v>
      </c>
      <c r="F15" s="8">
        <v>289.63</v>
      </c>
      <c r="G15" s="8">
        <v>18.2</v>
      </c>
    </row>
    <row r="16" spans="1:16" x14ac:dyDescent="0.25">
      <c r="A16" s="1">
        <v>4</v>
      </c>
      <c r="B16" s="1">
        <v>404</v>
      </c>
      <c r="C16" s="2" t="s">
        <v>9</v>
      </c>
      <c r="D16" s="1">
        <v>664.82</v>
      </c>
      <c r="E16" s="9">
        <v>21.82</v>
      </c>
      <c r="F16" s="8">
        <v>536.65</v>
      </c>
      <c r="G16" s="8">
        <v>18.32</v>
      </c>
    </row>
    <row r="17" spans="1:7" x14ac:dyDescent="0.25">
      <c r="A17" s="1">
        <v>4</v>
      </c>
      <c r="B17" s="1">
        <v>404</v>
      </c>
      <c r="C17" s="2" t="s">
        <v>10</v>
      </c>
      <c r="D17" s="1">
        <v>1043.2</v>
      </c>
      <c r="E17" s="9">
        <v>21.36</v>
      </c>
      <c r="F17" s="8">
        <v>866.83</v>
      </c>
      <c r="G17" s="8">
        <v>17.93</v>
      </c>
    </row>
    <row r="18" spans="1:7" x14ac:dyDescent="0.25">
      <c r="A18" s="1">
        <v>4</v>
      </c>
      <c r="B18" s="1">
        <v>405</v>
      </c>
      <c r="C18" s="2" t="s">
        <v>7</v>
      </c>
      <c r="D18" s="1">
        <v>285.02999999999997</v>
      </c>
      <c r="E18" s="9">
        <v>21.82</v>
      </c>
      <c r="F18" s="8">
        <v>209.43</v>
      </c>
      <c r="G18" s="8">
        <v>18.54</v>
      </c>
    </row>
    <row r="19" spans="1:7" x14ac:dyDescent="0.25">
      <c r="A19" s="1">
        <v>4</v>
      </c>
      <c r="B19" s="1">
        <v>405</v>
      </c>
      <c r="C19" s="2" t="s">
        <v>8</v>
      </c>
      <c r="D19" s="1">
        <v>366.33</v>
      </c>
      <c r="E19" s="9">
        <v>21.48</v>
      </c>
      <c r="F19" s="8">
        <v>283.3</v>
      </c>
      <c r="G19" s="8">
        <v>18.27</v>
      </c>
    </row>
    <row r="20" spans="1:7" x14ac:dyDescent="0.25">
      <c r="A20" s="1">
        <v>4</v>
      </c>
      <c r="B20" s="1">
        <v>405</v>
      </c>
      <c r="C20" s="2" t="s">
        <v>9</v>
      </c>
      <c r="D20" s="1">
        <v>489.71</v>
      </c>
      <c r="E20" s="9">
        <v>21.61</v>
      </c>
      <c r="F20" s="8">
        <v>391.19</v>
      </c>
      <c r="G20" s="8">
        <v>18.41</v>
      </c>
    </row>
    <row r="21" spans="1:7" x14ac:dyDescent="0.25">
      <c r="A21" s="1">
        <v>4</v>
      </c>
      <c r="B21" s="1">
        <v>405</v>
      </c>
      <c r="C21" s="2" t="s">
        <v>10</v>
      </c>
      <c r="D21" s="1">
        <v>1137.52</v>
      </c>
      <c r="E21" s="9">
        <v>21.9</v>
      </c>
      <c r="F21" s="8">
        <v>948.12</v>
      </c>
      <c r="G21" s="8">
        <v>18.47</v>
      </c>
    </row>
    <row r="22" spans="1:7" x14ac:dyDescent="0.25">
      <c r="A22" s="1">
        <v>4</v>
      </c>
      <c r="B22" s="1">
        <v>406</v>
      </c>
      <c r="C22" s="2" t="s">
        <v>7</v>
      </c>
      <c r="D22" s="1">
        <v>242.4</v>
      </c>
      <c r="E22" s="9">
        <v>21.91</v>
      </c>
      <c r="F22" s="8">
        <v>173.02</v>
      </c>
      <c r="G22" s="8">
        <v>18.45</v>
      </c>
    </row>
    <row r="23" spans="1:7" x14ac:dyDescent="0.25">
      <c r="A23" s="1">
        <v>4</v>
      </c>
      <c r="B23" s="1">
        <v>406</v>
      </c>
      <c r="C23" s="2" t="s">
        <v>8</v>
      </c>
      <c r="D23" s="1">
        <v>290.63</v>
      </c>
      <c r="E23" s="9">
        <v>21.48</v>
      </c>
      <c r="F23" s="8">
        <v>216.79</v>
      </c>
      <c r="G23" s="8">
        <v>18.260000000000002</v>
      </c>
    </row>
    <row r="24" spans="1:7" x14ac:dyDescent="0.25">
      <c r="A24" s="1">
        <v>4</v>
      </c>
      <c r="B24" s="1">
        <v>406</v>
      </c>
      <c r="C24" s="2" t="s">
        <v>9</v>
      </c>
      <c r="D24" s="1">
        <v>597.53</v>
      </c>
      <c r="E24" s="9">
        <v>21.83</v>
      </c>
      <c r="F24" s="8">
        <v>484.04</v>
      </c>
      <c r="G24" s="8">
        <v>18.53</v>
      </c>
    </row>
    <row r="25" spans="1:7" x14ac:dyDescent="0.25">
      <c r="A25" s="1">
        <v>4</v>
      </c>
      <c r="B25" s="1">
        <v>406</v>
      </c>
      <c r="C25" s="2" t="s">
        <v>10</v>
      </c>
      <c r="D25" s="1">
        <v>1090.8599999999999</v>
      </c>
      <c r="E25" s="9">
        <v>21.62</v>
      </c>
      <c r="F25" s="8">
        <v>914.6</v>
      </c>
      <c r="G25" s="8">
        <v>18.2</v>
      </c>
    </row>
    <row r="26" spans="1:7" x14ac:dyDescent="0.25">
      <c r="A26" s="1">
        <v>4</v>
      </c>
      <c r="B26" s="1">
        <v>407</v>
      </c>
      <c r="C26" s="2" t="s">
        <v>7</v>
      </c>
      <c r="D26" s="1">
        <v>267.39</v>
      </c>
      <c r="E26" s="9">
        <v>21.68</v>
      </c>
      <c r="F26" s="8">
        <v>191.62</v>
      </c>
      <c r="G26" s="8">
        <v>17.95</v>
      </c>
    </row>
    <row r="27" spans="1:7" x14ac:dyDescent="0.25">
      <c r="A27" s="1">
        <v>4</v>
      </c>
      <c r="B27" s="1">
        <v>407</v>
      </c>
      <c r="C27" s="2" t="s">
        <v>8</v>
      </c>
      <c r="D27" s="1">
        <v>397.07</v>
      </c>
      <c r="E27" s="9">
        <v>21.77</v>
      </c>
      <c r="F27" s="8">
        <v>305.7</v>
      </c>
      <c r="G27" s="8">
        <v>18.23</v>
      </c>
    </row>
    <row r="28" spans="1:7" x14ac:dyDescent="0.25">
      <c r="A28" s="1">
        <v>4</v>
      </c>
      <c r="B28" s="1">
        <v>407</v>
      </c>
      <c r="C28" s="2" t="s">
        <v>9</v>
      </c>
      <c r="D28" s="1">
        <v>630.05999999999995</v>
      </c>
      <c r="E28" s="9">
        <v>21.54</v>
      </c>
      <c r="F28" s="8">
        <v>516.03</v>
      </c>
      <c r="G28" s="8">
        <v>18.420000000000002</v>
      </c>
    </row>
    <row r="29" spans="1:7" x14ac:dyDescent="0.25">
      <c r="A29" s="1">
        <v>4</v>
      </c>
      <c r="B29" s="1">
        <v>407</v>
      </c>
      <c r="C29" s="2" t="s">
        <v>10</v>
      </c>
      <c r="D29" s="1">
        <v>1034.03</v>
      </c>
      <c r="E29" s="9">
        <v>21.48</v>
      </c>
      <c r="F29" s="8">
        <v>871.13</v>
      </c>
      <c r="G29" s="8">
        <v>18.16</v>
      </c>
    </row>
    <row r="30" spans="1:7" x14ac:dyDescent="0.25">
      <c r="A30" s="1">
        <v>4</v>
      </c>
      <c r="B30" s="1">
        <v>408</v>
      </c>
      <c r="C30" s="2" t="s">
        <v>7</v>
      </c>
      <c r="D30" s="1">
        <v>175.99</v>
      </c>
      <c r="E30" s="9">
        <v>21.85</v>
      </c>
      <c r="F30" s="8">
        <v>111.89</v>
      </c>
      <c r="G30" s="8">
        <v>18.760000000000002</v>
      </c>
    </row>
    <row r="31" spans="1:7" x14ac:dyDescent="0.25">
      <c r="A31" s="1">
        <v>4</v>
      </c>
      <c r="B31" s="1">
        <v>408</v>
      </c>
      <c r="C31" s="2" t="s">
        <v>8</v>
      </c>
      <c r="D31" s="1">
        <v>306.76</v>
      </c>
      <c r="E31" s="9">
        <v>21.71</v>
      </c>
      <c r="F31" s="8">
        <v>233.56</v>
      </c>
      <c r="G31" s="8">
        <v>18.649999999999999</v>
      </c>
    </row>
    <row r="32" spans="1:7" x14ac:dyDescent="0.25">
      <c r="A32" s="1">
        <v>4</v>
      </c>
      <c r="B32" s="1">
        <v>408</v>
      </c>
      <c r="C32" s="2" t="s">
        <v>9</v>
      </c>
      <c r="D32" s="1">
        <v>429.99</v>
      </c>
      <c r="E32" s="9">
        <v>21.75</v>
      </c>
      <c r="F32" s="8">
        <v>342.97</v>
      </c>
      <c r="G32" s="8">
        <v>18.79</v>
      </c>
    </row>
    <row r="33" spans="1:7" x14ac:dyDescent="0.25">
      <c r="A33" s="1">
        <v>4</v>
      </c>
      <c r="B33" s="1">
        <v>408</v>
      </c>
      <c r="C33" s="2" t="s">
        <v>10</v>
      </c>
      <c r="D33" s="1">
        <v>1213.49</v>
      </c>
      <c r="E33" s="9">
        <v>21.68</v>
      </c>
      <c r="F33" s="8">
        <v>1036.1099999999999</v>
      </c>
      <c r="G33" s="8">
        <v>18.64</v>
      </c>
    </row>
    <row r="34" spans="1:7" x14ac:dyDescent="0.25">
      <c r="A34" s="1">
        <v>4</v>
      </c>
      <c r="B34" s="1">
        <v>409</v>
      </c>
      <c r="C34" s="2" t="s">
        <v>7</v>
      </c>
      <c r="D34" s="1">
        <v>253.83</v>
      </c>
      <c r="E34" s="9">
        <v>21.4</v>
      </c>
      <c r="F34" s="8">
        <v>182.41</v>
      </c>
      <c r="G34" s="8">
        <v>18.100000000000001</v>
      </c>
    </row>
    <row r="35" spans="1:7" x14ac:dyDescent="0.25">
      <c r="A35" s="1">
        <v>4</v>
      </c>
      <c r="B35" s="1">
        <v>409</v>
      </c>
      <c r="C35" s="2" t="s">
        <v>8</v>
      </c>
      <c r="D35" s="1">
        <v>394.71</v>
      </c>
      <c r="E35" s="9">
        <v>21.45</v>
      </c>
      <c r="F35" s="8">
        <v>308.52</v>
      </c>
      <c r="G35" s="8">
        <v>18.36</v>
      </c>
    </row>
    <row r="36" spans="1:7" x14ac:dyDescent="0.25">
      <c r="A36" s="1">
        <v>4</v>
      </c>
      <c r="B36" s="1">
        <v>409</v>
      </c>
      <c r="C36" s="2" t="s">
        <v>9</v>
      </c>
      <c r="D36" s="1">
        <v>705.91</v>
      </c>
      <c r="E36" s="9">
        <v>21.68</v>
      </c>
      <c r="F36" s="8">
        <v>586.09</v>
      </c>
      <c r="G36" s="8">
        <v>18.829999999999998</v>
      </c>
    </row>
    <row r="37" spans="1:7" x14ac:dyDescent="0.25">
      <c r="A37" s="1">
        <v>4</v>
      </c>
      <c r="B37" s="1">
        <v>409</v>
      </c>
      <c r="C37" s="2" t="s">
        <v>10</v>
      </c>
      <c r="D37" s="1">
        <v>1020.96</v>
      </c>
      <c r="E37" s="9">
        <v>21.62</v>
      </c>
      <c r="F37" s="8">
        <v>850.12</v>
      </c>
      <c r="G37" s="8">
        <v>18.21</v>
      </c>
    </row>
  </sheetData>
  <pageMargins left="0.25" right="0.25" top="0.75" bottom="0.75" header="0.3" footer="0.3"/>
  <pageSetup orientation="portrait" r:id="rId1"/>
  <ignoredErrors>
    <ignoredError sqref="C3:C37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1535-DBB5-4AD7-9C8A-9A61F7321993}">
  <sheetPr>
    <pageSetUpPr fitToPage="1"/>
  </sheetPr>
  <dimension ref="A1:O145"/>
  <sheetViews>
    <sheetView tabSelected="1" workbookViewId="0">
      <selection activeCell="R9" sqref="R9"/>
    </sheetView>
  </sheetViews>
  <sheetFormatPr baseColWidth="10" defaultColWidth="11.42578125" defaultRowHeight="15" x14ac:dyDescent="0.25"/>
  <cols>
    <col min="3" max="5" width="19" customWidth="1"/>
    <col min="6" max="8" width="12.85546875" customWidth="1"/>
    <col min="9" max="9" width="13.42578125" customWidth="1"/>
    <col min="10" max="10" width="12.42578125" customWidth="1"/>
    <col min="11" max="11" width="14.42578125" customWidth="1"/>
    <col min="12" max="12" width="13.7109375" customWidth="1"/>
    <col min="13" max="13" width="15.85546875" style="11" customWidth="1"/>
    <col min="14" max="14" width="21.28515625" style="11" customWidth="1"/>
    <col min="15" max="15" width="15" customWidth="1"/>
  </cols>
  <sheetData>
    <row r="1" spans="1:15" ht="67.5" customHeight="1" x14ac:dyDescent="0.25">
      <c r="A1" s="3" t="s">
        <v>0</v>
      </c>
      <c r="B1" s="3" t="s">
        <v>1</v>
      </c>
      <c r="C1" s="24" t="s">
        <v>2</v>
      </c>
      <c r="D1" s="5" t="s">
        <v>17</v>
      </c>
      <c r="E1" s="5" t="s">
        <v>18</v>
      </c>
      <c r="F1" s="25" t="s">
        <v>3</v>
      </c>
      <c r="G1" s="5" t="s">
        <v>4</v>
      </c>
      <c r="H1" s="5" t="s">
        <v>19</v>
      </c>
      <c r="I1" s="5" t="s">
        <v>20</v>
      </c>
      <c r="J1" s="20" t="s">
        <v>21</v>
      </c>
      <c r="K1" s="18" t="s">
        <v>22</v>
      </c>
      <c r="L1" s="5" t="s">
        <v>23</v>
      </c>
      <c r="M1" s="5" t="s">
        <v>24</v>
      </c>
      <c r="N1" s="30" t="s">
        <v>25</v>
      </c>
      <c r="O1" s="28" t="s">
        <v>26</v>
      </c>
    </row>
    <row r="2" spans="1:15" x14ac:dyDescent="0.25">
      <c r="A2" s="1">
        <v>1</v>
      </c>
      <c r="B2" s="1">
        <v>101</v>
      </c>
      <c r="C2" s="2" t="s">
        <v>7</v>
      </c>
      <c r="D2" s="26">
        <v>1.6259999999999999</v>
      </c>
      <c r="E2" s="27">
        <v>10.131</v>
      </c>
      <c r="F2" s="22">
        <v>238.51</v>
      </c>
      <c r="G2" s="7">
        <v>21.73</v>
      </c>
      <c r="H2" s="7">
        <f>G2-D2</f>
        <v>20.103999999999999</v>
      </c>
      <c r="I2" s="8">
        <v>176.43</v>
      </c>
      <c r="J2" s="19">
        <f>I2-E2</f>
        <v>166.29900000000001</v>
      </c>
      <c r="K2" s="19">
        <v>18.68</v>
      </c>
      <c r="L2" s="8">
        <f t="shared" ref="L2:L33" si="0">K2-D2</f>
        <v>17.053999999999998</v>
      </c>
      <c r="M2" s="7">
        <f t="shared" ref="M2:M33" si="1">H2-L2</f>
        <v>3.0500000000000007</v>
      </c>
      <c r="N2" s="31">
        <f>(M2/L2)*100</f>
        <v>17.884367303858337</v>
      </c>
      <c r="O2" s="29">
        <v>45978</v>
      </c>
    </row>
    <row r="3" spans="1:15" x14ac:dyDescent="0.25">
      <c r="A3" s="1">
        <v>1</v>
      </c>
      <c r="B3" s="1">
        <v>101</v>
      </c>
      <c r="C3" s="2" t="s">
        <v>8</v>
      </c>
      <c r="D3" s="21">
        <v>1.6259999999999999</v>
      </c>
      <c r="E3" s="7">
        <v>10.131</v>
      </c>
      <c r="F3" s="22">
        <v>373.06</v>
      </c>
      <c r="G3" s="7">
        <v>21.56</v>
      </c>
      <c r="H3" s="7">
        <f t="shared" ref="H3:H66" si="2">G3-D3</f>
        <v>19.933999999999997</v>
      </c>
      <c r="I3" s="8">
        <v>289.97000000000003</v>
      </c>
      <c r="J3" s="19">
        <f t="shared" ref="J3:J66" si="3">I3-E3</f>
        <v>279.83900000000006</v>
      </c>
      <c r="K3" s="19">
        <v>18.420000000000002</v>
      </c>
      <c r="L3" s="8">
        <f t="shared" si="0"/>
        <v>16.794</v>
      </c>
      <c r="M3" s="7">
        <f t="shared" si="1"/>
        <v>3.139999999999997</v>
      </c>
      <c r="N3" s="31">
        <f>(M3/L3)*100</f>
        <v>18.69715374538524</v>
      </c>
      <c r="O3" s="29">
        <v>45978</v>
      </c>
    </row>
    <row r="4" spans="1:15" x14ac:dyDescent="0.25">
      <c r="A4" s="1">
        <v>1</v>
      </c>
      <c r="B4" s="1">
        <v>101</v>
      </c>
      <c r="C4" s="2" t="s">
        <v>9</v>
      </c>
      <c r="D4" s="21">
        <v>1.6259999999999999</v>
      </c>
      <c r="E4" s="7">
        <v>10.131</v>
      </c>
      <c r="F4" s="22">
        <v>732</v>
      </c>
      <c r="G4" s="7">
        <v>21.5</v>
      </c>
      <c r="H4" s="7">
        <f t="shared" si="2"/>
        <v>19.873999999999999</v>
      </c>
      <c r="I4" s="8">
        <v>588.28</v>
      </c>
      <c r="J4" s="19">
        <f t="shared" si="3"/>
        <v>578.149</v>
      </c>
      <c r="K4" s="19">
        <v>18</v>
      </c>
      <c r="L4" s="8">
        <f t="shared" si="0"/>
        <v>16.373999999999999</v>
      </c>
      <c r="M4" s="7">
        <f t="shared" si="1"/>
        <v>3.5</v>
      </c>
      <c r="N4" s="31">
        <f t="shared" ref="N4:N66" si="4">(M4/L4)*100</f>
        <v>21.375351166483451</v>
      </c>
      <c r="O4" s="29">
        <v>45978</v>
      </c>
    </row>
    <row r="5" spans="1:15" x14ac:dyDescent="0.25">
      <c r="A5" s="1">
        <v>1</v>
      </c>
      <c r="B5" s="1">
        <v>101</v>
      </c>
      <c r="C5" s="2" t="s">
        <v>10</v>
      </c>
      <c r="D5" s="21">
        <v>1.6259999999999999</v>
      </c>
      <c r="E5" s="7">
        <v>10.131</v>
      </c>
      <c r="F5" s="22">
        <v>1054.23</v>
      </c>
      <c r="G5" s="7">
        <v>21.62</v>
      </c>
      <c r="H5" s="7">
        <f t="shared" si="2"/>
        <v>19.994</v>
      </c>
      <c r="I5" s="8">
        <v>878.31</v>
      </c>
      <c r="J5" s="19">
        <f t="shared" si="3"/>
        <v>868.17899999999997</v>
      </c>
      <c r="K5" s="19">
        <v>18.510000000000002</v>
      </c>
      <c r="L5" s="8">
        <f t="shared" si="0"/>
        <v>16.884</v>
      </c>
      <c r="M5" s="7">
        <f t="shared" si="1"/>
        <v>3.1099999999999994</v>
      </c>
      <c r="N5" s="31">
        <f t="shared" si="4"/>
        <v>18.419805733238565</v>
      </c>
      <c r="O5" s="29">
        <v>45978</v>
      </c>
    </row>
    <row r="6" spans="1:15" x14ac:dyDescent="0.25">
      <c r="A6" s="1">
        <v>1</v>
      </c>
      <c r="B6" s="1">
        <v>102</v>
      </c>
      <c r="C6" s="2" t="s">
        <v>7</v>
      </c>
      <c r="D6" s="21">
        <v>1.6259999999999999</v>
      </c>
      <c r="E6" s="7">
        <v>10.131</v>
      </c>
      <c r="F6" s="22">
        <v>244.98</v>
      </c>
      <c r="G6" s="7">
        <v>21.35</v>
      </c>
      <c r="H6" s="7">
        <f t="shared" si="2"/>
        <v>19.724</v>
      </c>
      <c r="I6" s="8">
        <v>175.66</v>
      </c>
      <c r="J6" s="19">
        <f t="shared" si="3"/>
        <v>165.529</v>
      </c>
      <c r="K6" s="19">
        <v>17.739999999999998</v>
      </c>
      <c r="L6" s="8">
        <f t="shared" si="0"/>
        <v>16.113999999999997</v>
      </c>
      <c r="M6" s="7">
        <f t="shared" si="1"/>
        <v>3.610000000000003</v>
      </c>
      <c r="N6" s="31">
        <f t="shared" si="4"/>
        <v>22.402879483678813</v>
      </c>
      <c r="O6" s="29">
        <v>45978</v>
      </c>
    </row>
    <row r="7" spans="1:15" x14ac:dyDescent="0.25">
      <c r="A7" s="1">
        <v>1</v>
      </c>
      <c r="B7" s="1">
        <f t="shared" ref="B7:B9" si="5">B6</f>
        <v>102</v>
      </c>
      <c r="C7" s="2" t="s">
        <v>8</v>
      </c>
      <c r="D7" s="21">
        <v>1.6259999999999999</v>
      </c>
      <c r="E7" s="7">
        <v>10.131</v>
      </c>
      <c r="F7" s="22">
        <v>459.74</v>
      </c>
      <c r="G7" s="7">
        <v>21.84</v>
      </c>
      <c r="H7" s="7">
        <f t="shared" si="2"/>
        <v>20.213999999999999</v>
      </c>
      <c r="I7" s="8">
        <v>354.61</v>
      </c>
      <c r="J7" s="19">
        <f t="shared" si="3"/>
        <v>344.47900000000004</v>
      </c>
      <c r="K7" s="19">
        <v>18.03</v>
      </c>
      <c r="L7" s="8">
        <f t="shared" si="0"/>
        <v>16.404</v>
      </c>
      <c r="M7" s="7">
        <f t="shared" si="1"/>
        <v>3.8099999999999987</v>
      </c>
      <c r="N7" s="31">
        <f t="shared" si="4"/>
        <v>23.226042428675925</v>
      </c>
      <c r="O7" s="29">
        <v>45978</v>
      </c>
    </row>
    <row r="8" spans="1:15" x14ac:dyDescent="0.25">
      <c r="A8" s="1">
        <v>1</v>
      </c>
      <c r="B8" s="1">
        <f t="shared" si="5"/>
        <v>102</v>
      </c>
      <c r="C8" s="2" t="s">
        <v>9</v>
      </c>
      <c r="D8" s="21">
        <v>1.6259999999999999</v>
      </c>
      <c r="E8" s="7">
        <v>10.131</v>
      </c>
      <c r="F8" s="22">
        <v>682.56</v>
      </c>
      <c r="G8" s="7">
        <v>21.61</v>
      </c>
      <c r="H8" s="7">
        <f t="shared" si="2"/>
        <v>19.983999999999998</v>
      </c>
      <c r="I8" s="8">
        <v>539.49</v>
      </c>
      <c r="J8" s="19">
        <f t="shared" si="3"/>
        <v>529.35900000000004</v>
      </c>
      <c r="K8" s="19">
        <v>17.93</v>
      </c>
      <c r="L8" s="8">
        <f t="shared" si="0"/>
        <v>16.303999999999998</v>
      </c>
      <c r="M8" s="7">
        <f t="shared" si="1"/>
        <v>3.6799999999999997</v>
      </c>
      <c r="N8" s="31">
        <f t="shared" si="4"/>
        <v>22.571148184494604</v>
      </c>
      <c r="O8" s="29">
        <v>45978</v>
      </c>
    </row>
    <row r="9" spans="1:15" x14ac:dyDescent="0.25">
      <c r="A9" s="1">
        <v>1</v>
      </c>
      <c r="B9" s="1">
        <f t="shared" si="5"/>
        <v>102</v>
      </c>
      <c r="C9" s="2" t="s">
        <v>10</v>
      </c>
      <c r="D9" s="21">
        <v>1.6259999999999999</v>
      </c>
      <c r="E9" s="7">
        <v>10.131</v>
      </c>
      <c r="F9" s="22">
        <v>1034.3499999999999</v>
      </c>
      <c r="G9" s="7">
        <v>21.85</v>
      </c>
      <c r="H9" s="7">
        <f t="shared" si="2"/>
        <v>20.224</v>
      </c>
      <c r="I9" s="8">
        <v>852.62</v>
      </c>
      <c r="J9" s="19">
        <f t="shared" si="3"/>
        <v>842.48900000000003</v>
      </c>
      <c r="K9" s="19">
        <v>18.440000000000001</v>
      </c>
      <c r="L9" s="8">
        <f t="shared" si="0"/>
        <v>16.814</v>
      </c>
      <c r="M9" s="7">
        <f t="shared" si="1"/>
        <v>3.41</v>
      </c>
      <c r="N9" s="31">
        <f t="shared" si="4"/>
        <v>20.280718448911621</v>
      </c>
      <c r="O9" s="29">
        <v>45978</v>
      </c>
    </row>
    <row r="10" spans="1:15" x14ac:dyDescent="0.25">
      <c r="A10" s="1">
        <v>1</v>
      </c>
      <c r="B10" s="1">
        <v>103</v>
      </c>
      <c r="C10" s="2" t="s">
        <v>7</v>
      </c>
      <c r="D10" s="21">
        <v>1.6259999999999999</v>
      </c>
      <c r="E10" s="7">
        <v>10.131</v>
      </c>
      <c r="F10" s="22">
        <v>226.41</v>
      </c>
      <c r="G10" s="7">
        <v>21.31</v>
      </c>
      <c r="H10" s="7">
        <f t="shared" si="2"/>
        <v>19.683999999999997</v>
      </c>
      <c r="I10" s="8">
        <v>163.38</v>
      </c>
      <c r="J10" s="19">
        <f t="shared" si="3"/>
        <v>153.249</v>
      </c>
      <c r="K10" s="19">
        <v>17.98</v>
      </c>
      <c r="L10" s="8">
        <f t="shared" si="0"/>
        <v>16.353999999999999</v>
      </c>
      <c r="M10" s="7">
        <f t="shared" si="1"/>
        <v>3.3299999999999983</v>
      </c>
      <c r="N10" s="31">
        <f t="shared" si="4"/>
        <v>20.361990950226236</v>
      </c>
      <c r="O10" s="29">
        <v>45978</v>
      </c>
    </row>
    <row r="11" spans="1:15" x14ac:dyDescent="0.25">
      <c r="A11" s="1">
        <v>1</v>
      </c>
      <c r="B11" s="1">
        <f t="shared" ref="B11:B13" si="6">B10</f>
        <v>103</v>
      </c>
      <c r="C11" s="2" t="s">
        <v>8</v>
      </c>
      <c r="D11" s="21">
        <v>1.6259999999999999</v>
      </c>
      <c r="E11" s="7">
        <v>10.131</v>
      </c>
      <c r="F11" s="22">
        <v>416.95</v>
      </c>
      <c r="G11" s="7">
        <v>21.89</v>
      </c>
      <c r="H11" s="7">
        <f t="shared" si="2"/>
        <v>20.263999999999999</v>
      </c>
      <c r="I11" s="8">
        <v>321.85000000000002</v>
      </c>
      <c r="J11" s="19">
        <f t="shared" si="3"/>
        <v>311.71900000000005</v>
      </c>
      <c r="K11" s="19">
        <v>18.190000000000001</v>
      </c>
      <c r="L11" s="8">
        <f t="shared" si="0"/>
        <v>16.564</v>
      </c>
      <c r="M11" s="7">
        <f t="shared" si="1"/>
        <v>3.6999999999999993</v>
      </c>
      <c r="N11" s="31">
        <f t="shared" si="4"/>
        <v>22.337599613619894</v>
      </c>
      <c r="O11" s="29">
        <v>45978</v>
      </c>
    </row>
    <row r="12" spans="1:15" x14ac:dyDescent="0.25">
      <c r="A12" s="1">
        <v>1</v>
      </c>
      <c r="B12" s="1">
        <f t="shared" si="6"/>
        <v>103</v>
      </c>
      <c r="C12" s="2" t="s">
        <v>9</v>
      </c>
      <c r="D12" s="21">
        <v>1.6259999999999999</v>
      </c>
      <c r="E12" s="7">
        <v>10.131</v>
      </c>
      <c r="F12" s="22">
        <v>717.25</v>
      </c>
      <c r="G12" s="7">
        <v>21.83</v>
      </c>
      <c r="H12" s="7">
        <f t="shared" si="2"/>
        <v>20.203999999999997</v>
      </c>
      <c r="I12" s="8">
        <v>576.59</v>
      </c>
      <c r="J12" s="19">
        <f t="shared" si="3"/>
        <v>566.45900000000006</v>
      </c>
      <c r="K12" s="19">
        <v>18.25</v>
      </c>
      <c r="L12" s="8">
        <f t="shared" si="0"/>
        <v>16.623999999999999</v>
      </c>
      <c r="M12" s="7">
        <f t="shared" si="1"/>
        <v>3.5799999999999983</v>
      </c>
      <c r="N12" s="31">
        <f t="shared" si="4"/>
        <v>21.535129932627516</v>
      </c>
      <c r="O12" s="29">
        <v>45978</v>
      </c>
    </row>
    <row r="13" spans="1:15" x14ac:dyDescent="0.25">
      <c r="A13" s="1">
        <v>1</v>
      </c>
      <c r="B13" s="1">
        <f t="shared" si="6"/>
        <v>103</v>
      </c>
      <c r="C13" s="2" t="s">
        <v>10</v>
      </c>
      <c r="D13" s="21">
        <v>1.6259999999999999</v>
      </c>
      <c r="E13" s="7">
        <v>10.131</v>
      </c>
      <c r="F13" s="22">
        <v>955.09</v>
      </c>
      <c r="G13" s="7">
        <v>21.86</v>
      </c>
      <c r="H13" s="7">
        <f t="shared" si="2"/>
        <v>20.233999999999998</v>
      </c>
      <c r="I13" s="8">
        <v>778.57</v>
      </c>
      <c r="J13" s="19">
        <f t="shared" si="3"/>
        <v>768.43900000000008</v>
      </c>
      <c r="K13" s="19">
        <v>18.47</v>
      </c>
      <c r="L13" s="8">
        <f t="shared" si="0"/>
        <v>16.843999999999998</v>
      </c>
      <c r="M13" s="7">
        <f t="shared" si="1"/>
        <v>3.3900000000000006</v>
      </c>
      <c r="N13" s="31">
        <f t="shared" si="4"/>
        <v>20.125860840655431</v>
      </c>
      <c r="O13" s="29">
        <v>45978</v>
      </c>
    </row>
    <row r="14" spans="1:15" x14ac:dyDescent="0.25">
      <c r="A14" s="1">
        <v>1</v>
      </c>
      <c r="B14" s="1">
        <v>104</v>
      </c>
      <c r="C14" s="2" t="s">
        <v>7</v>
      </c>
      <c r="D14" s="21">
        <v>1.6259999999999999</v>
      </c>
      <c r="E14" s="7">
        <v>10.131</v>
      </c>
      <c r="F14" s="22">
        <v>234.01</v>
      </c>
      <c r="G14" s="7">
        <v>21.44</v>
      </c>
      <c r="H14" s="7">
        <f t="shared" si="2"/>
        <v>19.814</v>
      </c>
      <c r="I14" s="8">
        <v>169.33</v>
      </c>
      <c r="J14" s="19">
        <f t="shared" si="3"/>
        <v>159.19900000000001</v>
      </c>
      <c r="K14" s="19">
        <v>18.02</v>
      </c>
      <c r="L14" s="8">
        <f t="shared" si="0"/>
        <v>16.393999999999998</v>
      </c>
      <c r="M14" s="7">
        <f t="shared" si="1"/>
        <v>3.4200000000000017</v>
      </c>
      <c r="N14" s="31">
        <f t="shared" si="4"/>
        <v>20.861290716115665</v>
      </c>
      <c r="O14" s="29">
        <v>45978</v>
      </c>
    </row>
    <row r="15" spans="1:15" x14ac:dyDescent="0.25">
      <c r="A15" s="1">
        <v>1</v>
      </c>
      <c r="B15" s="1">
        <f t="shared" ref="B15:B17" si="7">B14</f>
        <v>104</v>
      </c>
      <c r="C15" s="2" t="s">
        <v>8</v>
      </c>
      <c r="D15" s="21">
        <v>1.6259999999999999</v>
      </c>
      <c r="E15" s="7">
        <v>10.131</v>
      </c>
      <c r="F15" s="22">
        <v>437.5</v>
      </c>
      <c r="G15" s="7">
        <v>21.44</v>
      </c>
      <c r="H15" s="7">
        <f t="shared" si="2"/>
        <v>19.814</v>
      </c>
      <c r="I15" s="8">
        <v>339.81</v>
      </c>
      <c r="J15" s="19">
        <f t="shared" si="3"/>
        <v>329.67899999999997</v>
      </c>
      <c r="K15" s="19">
        <v>17.78</v>
      </c>
      <c r="L15" s="8">
        <f t="shared" si="0"/>
        <v>16.154</v>
      </c>
      <c r="M15" s="7">
        <f t="shared" si="1"/>
        <v>3.66</v>
      </c>
      <c r="N15" s="31">
        <f t="shared" si="4"/>
        <v>22.656927076884983</v>
      </c>
      <c r="O15" s="29">
        <v>45978</v>
      </c>
    </row>
    <row r="16" spans="1:15" x14ac:dyDescent="0.25">
      <c r="A16" s="1">
        <v>1</v>
      </c>
      <c r="B16" s="1">
        <f t="shared" si="7"/>
        <v>104</v>
      </c>
      <c r="C16" s="2" t="s">
        <v>9</v>
      </c>
      <c r="D16" s="21">
        <v>1.6259999999999999</v>
      </c>
      <c r="E16" s="7">
        <v>10.131</v>
      </c>
      <c r="F16" s="22">
        <v>697.4</v>
      </c>
      <c r="G16" s="7">
        <v>21.98</v>
      </c>
      <c r="H16" s="7">
        <f t="shared" si="2"/>
        <v>20.353999999999999</v>
      </c>
      <c r="I16" s="8">
        <v>553.15</v>
      </c>
      <c r="J16" s="19">
        <f t="shared" si="3"/>
        <v>543.01900000000001</v>
      </c>
      <c r="K16" s="19">
        <v>18.29</v>
      </c>
      <c r="L16" s="8">
        <f t="shared" si="0"/>
        <v>16.663999999999998</v>
      </c>
      <c r="M16" s="7">
        <f t="shared" si="1"/>
        <v>3.6900000000000013</v>
      </c>
      <c r="N16" s="31">
        <f t="shared" si="4"/>
        <v>22.143542966874712</v>
      </c>
      <c r="O16" s="29">
        <v>45978</v>
      </c>
    </row>
    <row r="17" spans="1:15" x14ac:dyDescent="0.25">
      <c r="A17" s="1">
        <v>1</v>
      </c>
      <c r="B17" s="1">
        <f t="shared" si="7"/>
        <v>104</v>
      </c>
      <c r="C17" s="2" t="s">
        <v>10</v>
      </c>
      <c r="D17" s="21">
        <v>1.6259999999999999</v>
      </c>
      <c r="E17" s="7">
        <v>10.131</v>
      </c>
      <c r="F17" s="22">
        <v>988.94</v>
      </c>
      <c r="G17" s="7">
        <v>21.44</v>
      </c>
      <c r="H17" s="7">
        <f t="shared" si="2"/>
        <v>19.814</v>
      </c>
      <c r="I17" s="8">
        <v>797.85</v>
      </c>
      <c r="J17" s="19">
        <f t="shared" si="3"/>
        <v>787.71900000000005</v>
      </c>
      <c r="K17" s="19">
        <v>17.7</v>
      </c>
      <c r="L17" s="8">
        <f t="shared" si="0"/>
        <v>16.073999999999998</v>
      </c>
      <c r="M17" s="7">
        <f t="shared" si="1"/>
        <v>3.740000000000002</v>
      </c>
      <c r="N17" s="31">
        <f t="shared" si="4"/>
        <v>23.267388328978488</v>
      </c>
      <c r="O17" s="29">
        <v>45978</v>
      </c>
    </row>
    <row r="18" spans="1:15" x14ac:dyDescent="0.25">
      <c r="A18" s="1">
        <v>1</v>
      </c>
      <c r="B18" s="1">
        <v>105</v>
      </c>
      <c r="C18" s="2" t="s">
        <v>7</v>
      </c>
      <c r="D18" s="21">
        <v>1.6259999999999999</v>
      </c>
      <c r="E18" s="7">
        <v>10.131</v>
      </c>
      <c r="F18" s="22">
        <v>183.18</v>
      </c>
      <c r="G18" s="7">
        <v>21.15</v>
      </c>
      <c r="H18" s="7">
        <f t="shared" si="2"/>
        <v>19.523999999999997</v>
      </c>
      <c r="I18" s="8">
        <v>130.47999999999999</v>
      </c>
      <c r="J18" s="19">
        <f t="shared" si="3"/>
        <v>120.34899999999999</v>
      </c>
      <c r="K18" s="19">
        <v>18.21</v>
      </c>
      <c r="L18" s="8">
        <f t="shared" si="0"/>
        <v>16.584</v>
      </c>
      <c r="M18" s="7">
        <f t="shared" si="1"/>
        <v>2.9399999999999977</v>
      </c>
      <c r="N18" s="31">
        <f t="shared" si="4"/>
        <v>17.727930535455847</v>
      </c>
      <c r="O18" s="29">
        <v>45978</v>
      </c>
    </row>
    <row r="19" spans="1:15" x14ac:dyDescent="0.25">
      <c r="A19" s="1">
        <v>1</v>
      </c>
      <c r="B19" s="1">
        <f t="shared" ref="B19:B21" si="8">B18</f>
        <v>105</v>
      </c>
      <c r="C19" s="2" t="s">
        <v>8</v>
      </c>
      <c r="D19" s="21">
        <v>1.6259999999999999</v>
      </c>
      <c r="E19" s="7">
        <v>10.131</v>
      </c>
      <c r="F19" s="22">
        <v>401.8</v>
      </c>
      <c r="G19" s="7">
        <v>21.34</v>
      </c>
      <c r="H19" s="7">
        <f t="shared" si="2"/>
        <v>19.713999999999999</v>
      </c>
      <c r="I19" s="8">
        <v>314.19</v>
      </c>
      <c r="J19" s="19">
        <f t="shared" si="3"/>
        <v>304.05899999999997</v>
      </c>
      <c r="K19" s="19">
        <v>18.12</v>
      </c>
      <c r="L19" s="8">
        <f t="shared" si="0"/>
        <v>16.494</v>
      </c>
      <c r="M19" s="7">
        <f t="shared" si="1"/>
        <v>3.2199999999999989</v>
      </c>
      <c r="N19" s="31">
        <f t="shared" si="4"/>
        <v>19.522250515338904</v>
      </c>
      <c r="O19" s="29">
        <v>45978</v>
      </c>
    </row>
    <row r="20" spans="1:15" x14ac:dyDescent="0.25">
      <c r="A20" s="1">
        <v>1</v>
      </c>
      <c r="B20" s="1">
        <f t="shared" si="8"/>
        <v>105</v>
      </c>
      <c r="C20" s="2" t="s">
        <v>9</v>
      </c>
      <c r="D20" s="21">
        <v>1.6259999999999999</v>
      </c>
      <c r="E20" s="7">
        <v>10.131</v>
      </c>
      <c r="F20" s="22">
        <v>700.83</v>
      </c>
      <c r="G20" s="7">
        <v>21.63</v>
      </c>
      <c r="H20" s="7">
        <f t="shared" si="2"/>
        <v>20.003999999999998</v>
      </c>
      <c r="I20" s="8">
        <v>564.15</v>
      </c>
      <c r="J20" s="19">
        <f t="shared" si="3"/>
        <v>554.01900000000001</v>
      </c>
      <c r="K20" s="19">
        <v>18.27</v>
      </c>
      <c r="L20" s="8">
        <f t="shared" si="0"/>
        <v>16.643999999999998</v>
      </c>
      <c r="M20" s="7">
        <f t="shared" si="1"/>
        <v>3.3599999999999994</v>
      </c>
      <c r="N20" s="31">
        <f t="shared" si="4"/>
        <v>20.187454938716655</v>
      </c>
      <c r="O20" s="29">
        <v>45978</v>
      </c>
    </row>
    <row r="21" spans="1:15" x14ac:dyDescent="0.25">
      <c r="A21" s="1">
        <v>1</v>
      </c>
      <c r="B21" s="1">
        <f t="shared" si="8"/>
        <v>105</v>
      </c>
      <c r="C21" s="2" t="s">
        <v>10</v>
      </c>
      <c r="D21" s="21">
        <v>1.6259999999999999</v>
      </c>
      <c r="E21" s="7">
        <v>10.131</v>
      </c>
      <c r="F21" s="22">
        <v>1022.11</v>
      </c>
      <c r="G21" s="7">
        <v>21.53</v>
      </c>
      <c r="H21" s="7">
        <f t="shared" si="2"/>
        <v>19.904</v>
      </c>
      <c r="I21" s="8">
        <v>818.49</v>
      </c>
      <c r="J21" s="19">
        <f t="shared" si="3"/>
        <v>808.35900000000004</v>
      </c>
      <c r="K21" s="19">
        <v>18.05</v>
      </c>
      <c r="L21" s="8">
        <f t="shared" si="0"/>
        <v>16.423999999999999</v>
      </c>
      <c r="M21" s="7">
        <f t="shared" si="1"/>
        <v>3.4800000000000004</v>
      </c>
      <c r="N21" s="31">
        <f t="shared" si="4"/>
        <v>21.188504627374577</v>
      </c>
      <c r="O21" s="29">
        <v>45978</v>
      </c>
    </row>
    <row r="22" spans="1:15" x14ac:dyDescent="0.25">
      <c r="A22" s="1">
        <v>1</v>
      </c>
      <c r="B22" s="1">
        <v>106</v>
      </c>
      <c r="C22" s="2" t="s">
        <v>7</v>
      </c>
      <c r="D22" s="21">
        <v>1.6259999999999999</v>
      </c>
      <c r="E22" s="7">
        <v>10.131</v>
      </c>
      <c r="F22" s="22">
        <v>245.81</v>
      </c>
      <c r="G22" s="7">
        <v>21.47</v>
      </c>
      <c r="H22" s="7">
        <f t="shared" si="2"/>
        <v>19.843999999999998</v>
      </c>
      <c r="I22" s="8">
        <v>182.75</v>
      </c>
      <c r="J22" s="19">
        <f t="shared" si="3"/>
        <v>172.619</v>
      </c>
      <c r="K22" s="19">
        <v>18.309999999999999</v>
      </c>
      <c r="L22" s="8">
        <f t="shared" si="0"/>
        <v>16.683999999999997</v>
      </c>
      <c r="M22" s="7">
        <f t="shared" si="1"/>
        <v>3.16</v>
      </c>
      <c r="N22" s="31">
        <f t="shared" si="4"/>
        <v>18.940302085830741</v>
      </c>
      <c r="O22" s="29">
        <v>45978</v>
      </c>
    </row>
    <row r="23" spans="1:15" x14ac:dyDescent="0.25">
      <c r="A23" s="1">
        <v>1</v>
      </c>
      <c r="B23" s="1">
        <f t="shared" ref="B23:B25" si="9">B22</f>
        <v>106</v>
      </c>
      <c r="C23" s="2" t="s">
        <v>8</v>
      </c>
      <c r="D23" s="21">
        <v>1.6259999999999999</v>
      </c>
      <c r="E23" s="7">
        <v>10.131</v>
      </c>
      <c r="F23" s="22">
        <v>419.56</v>
      </c>
      <c r="G23" s="7">
        <v>21.53</v>
      </c>
      <c r="H23" s="7">
        <f t="shared" si="2"/>
        <v>19.904</v>
      </c>
      <c r="I23" s="8">
        <v>328.77</v>
      </c>
      <c r="J23" s="19">
        <f t="shared" si="3"/>
        <v>318.63900000000001</v>
      </c>
      <c r="K23" s="19">
        <v>18.25</v>
      </c>
      <c r="L23" s="8">
        <f t="shared" si="0"/>
        <v>16.623999999999999</v>
      </c>
      <c r="M23" s="7">
        <f t="shared" si="1"/>
        <v>3.2800000000000011</v>
      </c>
      <c r="N23" s="31">
        <f t="shared" si="4"/>
        <v>19.730510105871037</v>
      </c>
      <c r="O23" s="29">
        <v>45978</v>
      </c>
    </row>
    <row r="24" spans="1:15" x14ac:dyDescent="0.25">
      <c r="A24" s="1">
        <v>1</v>
      </c>
      <c r="B24" s="1">
        <f t="shared" si="9"/>
        <v>106</v>
      </c>
      <c r="C24" s="2" t="s">
        <v>9</v>
      </c>
      <c r="D24" s="21">
        <v>1.6259999999999999</v>
      </c>
      <c r="E24" s="7">
        <v>10.131</v>
      </c>
      <c r="F24" s="22">
        <v>706.25</v>
      </c>
      <c r="G24" s="7">
        <v>21.62</v>
      </c>
      <c r="H24" s="7">
        <f t="shared" si="2"/>
        <v>19.994</v>
      </c>
      <c r="I24" s="8">
        <v>570.73</v>
      </c>
      <c r="J24" s="19">
        <f t="shared" si="3"/>
        <v>560.59900000000005</v>
      </c>
      <c r="K24" s="19">
        <v>18.22</v>
      </c>
      <c r="L24" s="8">
        <f t="shared" si="0"/>
        <v>16.593999999999998</v>
      </c>
      <c r="M24" s="7">
        <f t="shared" si="1"/>
        <v>3.4000000000000021</v>
      </c>
      <c r="N24" s="31">
        <f t="shared" si="4"/>
        <v>20.489333494034003</v>
      </c>
      <c r="O24" s="29">
        <v>45978</v>
      </c>
    </row>
    <row r="25" spans="1:15" x14ac:dyDescent="0.25">
      <c r="A25" s="1">
        <v>1</v>
      </c>
      <c r="B25" s="1">
        <f t="shared" si="9"/>
        <v>106</v>
      </c>
      <c r="C25" s="2" t="s">
        <v>10</v>
      </c>
      <c r="D25" s="21">
        <v>1.6259999999999999</v>
      </c>
      <c r="E25" s="7">
        <v>10.131</v>
      </c>
      <c r="F25" s="22">
        <v>920.8</v>
      </c>
      <c r="G25" s="7">
        <v>21.36</v>
      </c>
      <c r="H25" s="7">
        <f t="shared" si="2"/>
        <v>19.733999999999998</v>
      </c>
      <c r="I25" s="8">
        <v>742.95</v>
      </c>
      <c r="J25" s="19">
        <f t="shared" si="3"/>
        <v>732.81900000000007</v>
      </c>
      <c r="K25" s="19">
        <v>17.78</v>
      </c>
      <c r="L25" s="8">
        <f t="shared" si="0"/>
        <v>16.154</v>
      </c>
      <c r="M25" s="7">
        <f t="shared" si="1"/>
        <v>3.5799999999999983</v>
      </c>
      <c r="N25" s="31">
        <f t="shared" si="4"/>
        <v>22.161693698155247</v>
      </c>
      <c r="O25" s="29">
        <v>45978</v>
      </c>
    </row>
    <row r="26" spans="1:15" x14ac:dyDescent="0.25">
      <c r="A26" s="1">
        <v>1</v>
      </c>
      <c r="B26" s="1">
        <v>107</v>
      </c>
      <c r="C26" s="2" t="s">
        <v>7</v>
      </c>
      <c r="D26" s="21">
        <v>1.6259999999999999</v>
      </c>
      <c r="E26" s="7">
        <v>10.131</v>
      </c>
      <c r="F26" s="22">
        <v>164.78</v>
      </c>
      <c r="G26" s="7">
        <v>21.42</v>
      </c>
      <c r="H26" s="7">
        <f t="shared" si="2"/>
        <v>19.794</v>
      </c>
      <c r="I26" s="8">
        <v>116.06</v>
      </c>
      <c r="J26" s="19">
        <f t="shared" si="3"/>
        <v>105.929</v>
      </c>
      <c r="K26" s="19">
        <v>18.64</v>
      </c>
      <c r="L26" s="8">
        <f t="shared" si="0"/>
        <v>17.013999999999999</v>
      </c>
      <c r="M26" s="7">
        <f t="shared" si="1"/>
        <v>2.7800000000000011</v>
      </c>
      <c r="N26" s="31">
        <f t="shared" si="4"/>
        <v>16.339485129893035</v>
      </c>
      <c r="O26" s="29">
        <v>45978</v>
      </c>
    </row>
    <row r="27" spans="1:15" x14ac:dyDescent="0.25">
      <c r="A27" s="1">
        <v>1</v>
      </c>
      <c r="B27" s="1">
        <f t="shared" ref="B27:B29" si="10">B26</f>
        <v>107</v>
      </c>
      <c r="C27" s="2" t="s">
        <v>8</v>
      </c>
      <c r="D27" s="21">
        <v>1.6259999999999999</v>
      </c>
      <c r="E27" s="7">
        <v>10.131</v>
      </c>
      <c r="F27" s="22">
        <v>430.58</v>
      </c>
      <c r="G27" s="7">
        <v>21.39</v>
      </c>
      <c r="H27" s="7">
        <f t="shared" si="2"/>
        <v>19.763999999999999</v>
      </c>
      <c r="I27" s="8">
        <v>332.01</v>
      </c>
      <c r="J27" s="19">
        <f t="shared" si="3"/>
        <v>321.87900000000002</v>
      </c>
      <c r="K27" s="19">
        <v>17.989999999999998</v>
      </c>
      <c r="L27" s="8">
        <f t="shared" si="0"/>
        <v>16.363999999999997</v>
      </c>
      <c r="M27" s="7">
        <f t="shared" si="1"/>
        <v>3.4000000000000021</v>
      </c>
      <c r="N27" s="31">
        <f t="shared" si="4"/>
        <v>20.777316059643137</v>
      </c>
      <c r="O27" s="29">
        <v>45978</v>
      </c>
    </row>
    <row r="28" spans="1:15" x14ac:dyDescent="0.25">
      <c r="A28" s="1">
        <v>1</v>
      </c>
      <c r="B28" s="1">
        <f t="shared" si="10"/>
        <v>107</v>
      </c>
      <c r="C28" s="2" t="s">
        <v>9</v>
      </c>
      <c r="D28" s="21">
        <v>1.6259999999999999</v>
      </c>
      <c r="E28" s="7">
        <v>10.131</v>
      </c>
      <c r="F28" s="22">
        <v>692.47</v>
      </c>
      <c r="G28" s="7">
        <v>21.67</v>
      </c>
      <c r="H28" s="7">
        <f t="shared" si="2"/>
        <v>20.044</v>
      </c>
      <c r="I28" s="8">
        <v>545.5</v>
      </c>
      <c r="J28" s="19">
        <f t="shared" si="3"/>
        <v>535.36900000000003</v>
      </c>
      <c r="K28" s="19">
        <v>17.989999999999998</v>
      </c>
      <c r="L28" s="8">
        <f t="shared" si="0"/>
        <v>16.363999999999997</v>
      </c>
      <c r="M28" s="7">
        <f t="shared" si="1"/>
        <v>3.6800000000000033</v>
      </c>
      <c r="N28" s="31">
        <f t="shared" si="4"/>
        <v>22.48838914690787</v>
      </c>
      <c r="O28" s="29">
        <v>45978</v>
      </c>
    </row>
    <row r="29" spans="1:15" x14ac:dyDescent="0.25">
      <c r="A29" s="1">
        <v>1</v>
      </c>
      <c r="B29" s="1">
        <f t="shared" si="10"/>
        <v>107</v>
      </c>
      <c r="C29" s="2" t="s">
        <v>10</v>
      </c>
      <c r="D29" s="21">
        <v>1.6259999999999999</v>
      </c>
      <c r="E29" s="7">
        <v>10.131</v>
      </c>
      <c r="F29" s="22">
        <v>1006.73</v>
      </c>
      <c r="G29" s="7">
        <v>21.42</v>
      </c>
      <c r="H29" s="7">
        <f t="shared" si="2"/>
        <v>19.794</v>
      </c>
      <c r="I29" s="8">
        <v>806.97</v>
      </c>
      <c r="J29" s="19">
        <f t="shared" si="3"/>
        <v>796.83900000000006</v>
      </c>
      <c r="K29" s="19">
        <v>17.71</v>
      </c>
      <c r="L29" s="8">
        <f t="shared" si="0"/>
        <v>16.084</v>
      </c>
      <c r="M29" s="7">
        <f t="shared" si="1"/>
        <v>3.7100000000000009</v>
      </c>
      <c r="N29" s="31">
        <f t="shared" si="4"/>
        <v>23.066401392688395</v>
      </c>
      <c r="O29" s="29">
        <v>45978</v>
      </c>
    </row>
    <row r="30" spans="1:15" x14ac:dyDescent="0.25">
      <c r="A30" s="1">
        <v>1</v>
      </c>
      <c r="B30" s="1">
        <v>108</v>
      </c>
      <c r="C30" s="2" t="s">
        <v>7</v>
      </c>
      <c r="D30" s="21">
        <v>1.6259999999999999</v>
      </c>
      <c r="E30" s="7">
        <v>10.131</v>
      </c>
      <c r="F30" s="22">
        <v>209.64</v>
      </c>
      <c r="G30" s="7">
        <v>21.29</v>
      </c>
      <c r="H30" s="7">
        <f t="shared" si="2"/>
        <v>19.663999999999998</v>
      </c>
      <c r="I30" s="8">
        <v>146.11000000000001</v>
      </c>
      <c r="J30" s="19">
        <f t="shared" si="3"/>
        <v>135.97900000000001</v>
      </c>
      <c r="K30" s="19">
        <v>18.27</v>
      </c>
      <c r="L30" s="8">
        <f t="shared" si="0"/>
        <v>16.643999999999998</v>
      </c>
      <c r="M30" s="7">
        <f t="shared" si="1"/>
        <v>3.0199999999999996</v>
      </c>
      <c r="N30" s="31">
        <f t="shared" si="4"/>
        <v>18.144676760394134</v>
      </c>
      <c r="O30" s="29">
        <v>45978</v>
      </c>
    </row>
    <row r="31" spans="1:15" x14ac:dyDescent="0.25">
      <c r="A31" s="1">
        <v>1</v>
      </c>
      <c r="B31" s="1">
        <f t="shared" ref="B31:B33" si="11">B30</f>
        <v>108</v>
      </c>
      <c r="C31" s="2" t="s">
        <v>8</v>
      </c>
      <c r="D31" s="21">
        <v>1.6259999999999999</v>
      </c>
      <c r="E31" s="7">
        <v>10.131</v>
      </c>
      <c r="F31" s="22">
        <v>378.67</v>
      </c>
      <c r="G31" s="7">
        <v>21.59</v>
      </c>
      <c r="H31" s="7">
        <f t="shared" si="2"/>
        <v>19.963999999999999</v>
      </c>
      <c r="I31" s="8">
        <v>285.88</v>
      </c>
      <c r="J31" s="19">
        <f t="shared" si="3"/>
        <v>275.74900000000002</v>
      </c>
      <c r="K31" s="19">
        <v>17.97</v>
      </c>
      <c r="L31" s="8">
        <f t="shared" si="0"/>
        <v>16.343999999999998</v>
      </c>
      <c r="M31" s="7">
        <f t="shared" si="1"/>
        <v>3.620000000000001</v>
      </c>
      <c r="N31" s="31">
        <f t="shared" si="4"/>
        <v>22.148800783162027</v>
      </c>
      <c r="O31" s="29">
        <v>45978</v>
      </c>
    </row>
    <row r="32" spans="1:15" x14ac:dyDescent="0.25">
      <c r="A32" s="1">
        <v>1</v>
      </c>
      <c r="B32" s="1">
        <f t="shared" si="11"/>
        <v>108</v>
      </c>
      <c r="C32" s="2" t="s">
        <v>9</v>
      </c>
      <c r="D32" s="21">
        <v>1.6259999999999999</v>
      </c>
      <c r="E32" s="7">
        <v>10.131</v>
      </c>
      <c r="F32" s="22">
        <v>752.84</v>
      </c>
      <c r="G32" s="7">
        <v>21.58</v>
      </c>
      <c r="H32" s="7">
        <f t="shared" si="2"/>
        <v>19.953999999999997</v>
      </c>
      <c r="I32" s="8">
        <v>600.04999999999995</v>
      </c>
      <c r="J32" s="19">
        <f t="shared" si="3"/>
        <v>589.91899999999998</v>
      </c>
      <c r="K32" s="19">
        <v>17.88</v>
      </c>
      <c r="L32" s="8">
        <f t="shared" si="0"/>
        <v>16.253999999999998</v>
      </c>
      <c r="M32" s="7">
        <f t="shared" si="1"/>
        <v>3.6999999999999993</v>
      </c>
      <c r="N32" s="31">
        <f t="shared" si="4"/>
        <v>22.763627414790204</v>
      </c>
      <c r="O32" s="29">
        <v>45978</v>
      </c>
    </row>
    <row r="33" spans="1:15" x14ac:dyDescent="0.25">
      <c r="A33" s="1">
        <v>1</v>
      </c>
      <c r="B33" s="1">
        <f t="shared" si="11"/>
        <v>108</v>
      </c>
      <c r="C33" s="2" t="s">
        <v>10</v>
      </c>
      <c r="D33" s="21">
        <v>1.6259999999999999</v>
      </c>
      <c r="E33" s="7">
        <v>10.131</v>
      </c>
      <c r="F33" s="22">
        <v>808.78</v>
      </c>
      <c r="G33" s="7">
        <v>21.91</v>
      </c>
      <c r="H33" s="7">
        <f t="shared" si="2"/>
        <v>20.283999999999999</v>
      </c>
      <c r="I33" s="8">
        <v>645.33000000000004</v>
      </c>
      <c r="J33" s="19">
        <f t="shared" si="3"/>
        <v>635.19900000000007</v>
      </c>
      <c r="K33" s="19">
        <v>18.11</v>
      </c>
      <c r="L33" s="8">
        <f t="shared" si="0"/>
        <v>16.483999999999998</v>
      </c>
      <c r="M33" s="7">
        <f t="shared" si="1"/>
        <v>3.8000000000000007</v>
      </c>
      <c r="N33" s="31">
        <f t="shared" si="4"/>
        <v>23.052657122057759</v>
      </c>
      <c r="O33" s="29">
        <v>45978</v>
      </c>
    </row>
    <row r="34" spans="1:15" x14ac:dyDescent="0.25">
      <c r="A34" s="1">
        <v>1</v>
      </c>
      <c r="B34" s="1">
        <v>109</v>
      </c>
      <c r="C34" s="2" t="s">
        <v>7</v>
      </c>
      <c r="D34" s="21">
        <v>1.6259999999999999</v>
      </c>
      <c r="E34" s="7">
        <v>10.131</v>
      </c>
      <c r="F34" s="22">
        <v>168.15</v>
      </c>
      <c r="G34" s="7">
        <v>21.66</v>
      </c>
      <c r="H34" s="7">
        <f t="shared" si="2"/>
        <v>20.033999999999999</v>
      </c>
      <c r="I34" s="8">
        <v>117.29</v>
      </c>
      <c r="J34" s="19">
        <f t="shared" si="3"/>
        <v>107.15900000000001</v>
      </c>
      <c r="K34" s="19">
        <v>18.57</v>
      </c>
      <c r="L34" s="8">
        <f t="shared" ref="L34:L65" si="12">K34-D34</f>
        <v>16.943999999999999</v>
      </c>
      <c r="M34" s="7">
        <f t="shared" ref="M34:M65" si="13">H34-L34</f>
        <v>3.09</v>
      </c>
      <c r="N34" s="31">
        <f t="shared" si="4"/>
        <v>18.236543909348445</v>
      </c>
      <c r="O34" s="29">
        <v>45978</v>
      </c>
    </row>
    <row r="35" spans="1:15" x14ac:dyDescent="0.25">
      <c r="A35" s="1">
        <v>1</v>
      </c>
      <c r="B35" s="1">
        <f t="shared" ref="B35:B37" si="14">B34</f>
        <v>109</v>
      </c>
      <c r="C35" s="2" t="s">
        <v>8</v>
      </c>
      <c r="D35" s="21">
        <v>1.6259999999999999</v>
      </c>
      <c r="E35" s="7">
        <v>10.131</v>
      </c>
      <c r="F35" s="22">
        <v>399.34</v>
      </c>
      <c r="G35" s="7">
        <v>21.63</v>
      </c>
      <c r="H35" s="7">
        <f t="shared" si="2"/>
        <v>20.003999999999998</v>
      </c>
      <c r="I35" s="8">
        <v>313.42</v>
      </c>
      <c r="J35" s="19">
        <f t="shared" si="3"/>
        <v>303.28899999999999</v>
      </c>
      <c r="K35" s="19">
        <v>18.47</v>
      </c>
      <c r="L35" s="8">
        <f t="shared" si="12"/>
        <v>16.843999999999998</v>
      </c>
      <c r="M35" s="7">
        <f t="shared" si="13"/>
        <v>3.16</v>
      </c>
      <c r="N35" s="31">
        <f t="shared" si="4"/>
        <v>18.760389456186182</v>
      </c>
      <c r="O35" s="29">
        <v>45978</v>
      </c>
    </row>
    <row r="36" spans="1:15" x14ac:dyDescent="0.25">
      <c r="A36" s="1">
        <v>1</v>
      </c>
      <c r="B36" s="1">
        <f t="shared" si="14"/>
        <v>109</v>
      </c>
      <c r="C36" s="2" t="s">
        <v>9</v>
      </c>
      <c r="D36" s="21">
        <v>1.6259999999999999</v>
      </c>
      <c r="E36" s="7">
        <v>10.131</v>
      </c>
      <c r="F36" s="22">
        <v>742.36</v>
      </c>
      <c r="G36" s="7">
        <v>21.65</v>
      </c>
      <c r="H36" s="7">
        <f t="shared" si="2"/>
        <v>20.023999999999997</v>
      </c>
      <c r="I36" s="8">
        <v>597.05999999999995</v>
      </c>
      <c r="J36" s="19">
        <f t="shared" si="3"/>
        <v>586.92899999999997</v>
      </c>
      <c r="K36" s="19">
        <v>17.95</v>
      </c>
      <c r="L36" s="8">
        <f t="shared" si="12"/>
        <v>16.323999999999998</v>
      </c>
      <c r="M36" s="7">
        <f t="shared" si="13"/>
        <v>3.6999999999999993</v>
      </c>
      <c r="N36" s="31">
        <f t="shared" si="4"/>
        <v>22.666013232050965</v>
      </c>
      <c r="O36" s="29">
        <v>45978</v>
      </c>
    </row>
    <row r="37" spans="1:15" x14ac:dyDescent="0.25">
      <c r="A37" s="1">
        <v>1</v>
      </c>
      <c r="B37" s="1">
        <f t="shared" si="14"/>
        <v>109</v>
      </c>
      <c r="C37" s="2" t="s">
        <v>10</v>
      </c>
      <c r="D37" s="21">
        <v>1.6259999999999999</v>
      </c>
      <c r="E37" s="7">
        <v>10.131</v>
      </c>
      <c r="F37" s="22">
        <v>1072.25</v>
      </c>
      <c r="G37" s="7">
        <v>21.64</v>
      </c>
      <c r="H37" s="7">
        <f t="shared" si="2"/>
        <v>20.013999999999999</v>
      </c>
      <c r="I37" s="8">
        <v>877.47</v>
      </c>
      <c r="J37" s="19">
        <f t="shared" si="3"/>
        <v>867.33900000000006</v>
      </c>
      <c r="K37" s="19">
        <v>18.07</v>
      </c>
      <c r="L37" s="8">
        <f t="shared" si="12"/>
        <v>16.443999999999999</v>
      </c>
      <c r="M37" s="7">
        <f t="shared" si="13"/>
        <v>3.5700000000000003</v>
      </c>
      <c r="N37" s="31">
        <f t="shared" si="4"/>
        <v>21.71004621746534</v>
      </c>
      <c r="O37" s="29">
        <v>45978</v>
      </c>
    </row>
    <row r="38" spans="1:15" x14ac:dyDescent="0.25">
      <c r="A38" s="1">
        <v>2</v>
      </c>
      <c r="B38" s="1">
        <v>201</v>
      </c>
      <c r="C38" s="2" t="s">
        <v>7</v>
      </c>
      <c r="D38" s="21">
        <v>1.6259999999999999</v>
      </c>
      <c r="E38" s="7">
        <v>10.131</v>
      </c>
      <c r="F38" s="23">
        <v>250.2</v>
      </c>
      <c r="G38" s="9">
        <v>21.44</v>
      </c>
      <c r="H38" s="7">
        <f t="shared" si="2"/>
        <v>19.814</v>
      </c>
      <c r="I38" s="8">
        <v>188.38</v>
      </c>
      <c r="J38" s="19">
        <f t="shared" si="3"/>
        <v>178.249</v>
      </c>
      <c r="K38" s="19">
        <v>18.48</v>
      </c>
      <c r="L38" s="8">
        <f t="shared" si="12"/>
        <v>16.853999999999999</v>
      </c>
      <c r="M38" s="7">
        <f t="shared" si="13"/>
        <v>2.9600000000000009</v>
      </c>
      <c r="N38" s="31">
        <f t="shared" si="4"/>
        <v>17.562596416281007</v>
      </c>
      <c r="O38" s="29">
        <v>45978</v>
      </c>
    </row>
    <row r="39" spans="1:15" x14ac:dyDescent="0.25">
      <c r="A39" s="1">
        <v>2</v>
      </c>
      <c r="B39" s="1">
        <v>201</v>
      </c>
      <c r="C39" s="2" t="s">
        <v>8</v>
      </c>
      <c r="D39" s="21">
        <v>1.6259999999999999</v>
      </c>
      <c r="E39" s="7">
        <v>10.131</v>
      </c>
      <c r="F39" s="23">
        <v>432.86</v>
      </c>
      <c r="G39" s="9">
        <v>21.86</v>
      </c>
      <c r="H39" s="7">
        <f t="shared" si="2"/>
        <v>20.233999999999998</v>
      </c>
      <c r="I39" s="8">
        <v>344.24</v>
      </c>
      <c r="J39" s="19">
        <f t="shared" si="3"/>
        <v>334.10900000000004</v>
      </c>
      <c r="K39" s="19">
        <v>18.809999999999999</v>
      </c>
      <c r="L39" s="8">
        <f t="shared" si="12"/>
        <v>17.183999999999997</v>
      </c>
      <c r="M39" s="7">
        <f t="shared" si="13"/>
        <v>3.0500000000000007</v>
      </c>
      <c r="N39" s="31">
        <f t="shared" si="4"/>
        <v>17.749068901303545</v>
      </c>
      <c r="O39" s="29">
        <v>45978</v>
      </c>
    </row>
    <row r="40" spans="1:15" x14ac:dyDescent="0.25">
      <c r="A40" s="1">
        <v>2</v>
      </c>
      <c r="B40" s="1">
        <v>201</v>
      </c>
      <c r="C40" s="2" t="s">
        <v>9</v>
      </c>
      <c r="D40" s="21">
        <v>1.6259999999999999</v>
      </c>
      <c r="E40" s="7">
        <v>10.131</v>
      </c>
      <c r="F40" s="23">
        <v>693.88</v>
      </c>
      <c r="G40" s="9">
        <v>21.69</v>
      </c>
      <c r="H40" s="7">
        <f t="shared" si="2"/>
        <v>20.064</v>
      </c>
      <c r="I40" s="8">
        <v>561.91</v>
      </c>
      <c r="J40" s="19">
        <f t="shared" si="3"/>
        <v>551.779</v>
      </c>
      <c r="K40" s="19">
        <v>18.43</v>
      </c>
      <c r="L40" s="8">
        <f t="shared" si="12"/>
        <v>16.803999999999998</v>
      </c>
      <c r="M40" s="7">
        <f t="shared" si="13"/>
        <v>3.2600000000000016</v>
      </c>
      <c r="N40" s="31">
        <f t="shared" si="4"/>
        <v>19.400142823137358</v>
      </c>
      <c r="O40" s="29">
        <v>45978</v>
      </c>
    </row>
    <row r="41" spans="1:15" x14ac:dyDescent="0.25">
      <c r="A41" s="1">
        <v>2</v>
      </c>
      <c r="B41" s="1">
        <v>201</v>
      </c>
      <c r="C41" s="2" t="s">
        <v>10</v>
      </c>
      <c r="D41" s="21">
        <v>1.6259999999999999</v>
      </c>
      <c r="E41" s="7">
        <v>10.131</v>
      </c>
      <c r="F41" s="23">
        <v>1102.05</v>
      </c>
      <c r="G41" s="9">
        <v>21.75</v>
      </c>
      <c r="H41" s="7">
        <f t="shared" si="2"/>
        <v>20.123999999999999</v>
      </c>
      <c r="I41" s="8">
        <v>916.88</v>
      </c>
      <c r="J41" s="19">
        <f t="shared" si="3"/>
        <v>906.74900000000002</v>
      </c>
      <c r="K41" s="19">
        <v>18.43</v>
      </c>
      <c r="L41" s="8">
        <f t="shared" si="12"/>
        <v>16.803999999999998</v>
      </c>
      <c r="M41" s="7">
        <f t="shared" si="13"/>
        <v>3.3200000000000003</v>
      </c>
      <c r="N41" s="31">
        <f t="shared" si="4"/>
        <v>19.75720066650798</v>
      </c>
      <c r="O41" s="29">
        <v>45978</v>
      </c>
    </row>
    <row r="42" spans="1:15" x14ac:dyDescent="0.25">
      <c r="A42" s="1">
        <v>2</v>
      </c>
      <c r="B42" s="1">
        <v>202</v>
      </c>
      <c r="C42" s="2" t="s">
        <v>7</v>
      </c>
      <c r="D42" s="21">
        <v>1.6259999999999999</v>
      </c>
      <c r="E42" s="7">
        <v>10.131</v>
      </c>
      <c r="F42" s="23">
        <v>224.81</v>
      </c>
      <c r="G42" s="9">
        <v>21.77</v>
      </c>
      <c r="H42" s="7">
        <f t="shared" si="2"/>
        <v>20.143999999999998</v>
      </c>
      <c r="I42" s="8">
        <v>165.55</v>
      </c>
      <c r="J42" s="19">
        <f t="shared" si="3"/>
        <v>155.41900000000001</v>
      </c>
      <c r="K42" s="19">
        <v>18.62</v>
      </c>
      <c r="L42" s="8">
        <f t="shared" si="12"/>
        <v>16.994</v>
      </c>
      <c r="M42" s="7">
        <f t="shared" si="13"/>
        <v>3.1499999999999986</v>
      </c>
      <c r="N42" s="31">
        <f t="shared" si="4"/>
        <v>18.535953866070372</v>
      </c>
      <c r="O42" s="29">
        <v>45978</v>
      </c>
    </row>
    <row r="43" spans="1:15" x14ac:dyDescent="0.25">
      <c r="A43" s="1">
        <v>2</v>
      </c>
      <c r="B43" s="1">
        <v>202</v>
      </c>
      <c r="C43" s="2" t="s">
        <v>8</v>
      </c>
      <c r="D43" s="21">
        <v>1.6259999999999999</v>
      </c>
      <c r="E43" s="7">
        <v>10.131</v>
      </c>
      <c r="F43" s="23">
        <v>460.99</v>
      </c>
      <c r="G43" s="9">
        <v>21.83</v>
      </c>
      <c r="H43" s="7">
        <f t="shared" si="2"/>
        <v>20.203999999999997</v>
      </c>
      <c r="I43" s="8">
        <v>368.28</v>
      </c>
      <c r="J43" s="19">
        <f t="shared" si="3"/>
        <v>358.149</v>
      </c>
      <c r="K43" s="19">
        <v>18.64</v>
      </c>
      <c r="L43" s="8">
        <f t="shared" si="12"/>
        <v>17.013999999999999</v>
      </c>
      <c r="M43" s="7">
        <f t="shared" si="13"/>
        <v>3.1899999999999977</v>
      </c>
      <c r="N43" s="31">
        <f t="shared" si="4"/>
        <v>18.749265310920407</v>
      </c>
      <c r="O43" s="29">
        <v>45978</v>
      </c>
    </row>
    <row r="44" spans="1:15" x14ac:dyDescent="0.25">
      <c r="A44" s="1">
        <v>2</v>
      </c>
      <c r="B44" s="1">
        <v>202</v>
      </c>
      <c r="C44" s="2" t="s">
        <v>9</v>
      </c>
      <c r="D44" s="21">
        <v>1.6259999999999999</v>
      </c>
      <c r="E44" s="7">
        <v>10.131</v>
      </c>
      <c r="F44" s="23">
        <v>688.02</v>
      </c>
      <c r="G44" s="9">
        <v>21.83</v>
      </c>
      <c r="H44" s="7">
        <f t="shared" si="2"/>
        <v>20.203999999999997</v>
      </c>
      <c r="I44" s="8">
        <v>562.69000000000005</v>
      </c>
      <c r="J44" s="19">
        <f t="shared" si="3"/>
        <v>552.55900000000008</v>
      </c>
      <c r="K44" s="19">
        <v>18.41</v>
      </c>
      <c r="L44" s="8">
        <f t="shared" si="12"/>
        <v>16.783999999999999</v>
      </c>
      <c r="M44" s="7">
        <f t="shared" si="13"/>
        <v>3.4199999999999982</v>
      </c>
      <c r="N44" s="31">
        <f t="shared" si="4"/>
        <v>20.376549094375587</v>
      </c>
      <c r="O44" s="29">
        <v>45978</v>
      </c>
    </row>
    <row r="45" spans="1:15" x14ac:dyDescent="0.25">
      <c r="A45" s="1">
        <v>2</v>
      </c>
      <c r="B45" s="1">
        <v>202</v>
      </c>
      <c r="C45" s="2" t="s">
        <v>10</v>
      </c>
      <c r="D45" s="21">
        <v>1.6259999999999999</v>
      </c>
      <c r="E45" s="7">
        <v>10.131</v>
      </c>
      <c r="F45" s="23">
        <v>1052.5999999999999</v>
      </c>
      <c r="G45" s="9">
        <v>21.88</v>
      </c>
      <c r="H45" s="7">
        <f t="shared" si="2"/>
        <v>20.253999999999998</v>
      </c>
      <c r="I45" s="8">
        <v>869.64</v>
      </c>
      <c r="J45" s="19">
        <f t="shared" si="3"/>
        <v>859.50900000000001</v>
      </c>
      <c r="K45" s="19">
        <v>18.45</v>
      </c>
      <c r="L45" s="8">
        <f t="shared" si="12"/>
        <v>16.823999999999998</v>
      </c>
      <c r="M45" s="7">
        <f t="shared" si="13"/>
        <v>3.4299999999999997</v>
      </c>
      <c r="N45" s="31">
        <f t="shared" si="4"/>
        <v>20.387541607227771</v>
      </c>
      <c r="O45" s="29">
        <v>45978</v>
      </c>
    </row>
    <row r="46" spans="1:15" x14ac:dyDescent="0.25">
      <c r="A46" s="1">
        <v>2</v>
      </c>
      <c r="B46" s="1">
        <v>203</v>
      </c>
      <c r="C46" s="2" t="s">
        <v>7</v>
      </c>
      <c r="D46" s="21">
        <v>1.6259999999999999</v>
      </c>
      <c r="E46" s="7">
        <v>10.131</v>
      </c>
      <c r="F46" s="23">
        <v>236.76</v>
      </c>
      <c r="G46" s="9">
        <v>21.65</v>
      </c>
      <c r="H46" s="7">
        <f t="shared" si="2"/>
        <v>20.023999999999997</v>
      </c>
      <c r="I46" s="8">
        <v>174.93</v>
      </c>
      <c r="J46" s="19">
        <f t="shared" si="3"/>
        <v>164.79900000000001</v>
      </c>
      <c r="K46" s="19">
        <v>18.46</v>
      </c>
      <c r="L46" s="8">
        <f t="shared" si="12"/>
        <v>16.834</v>
      </c>
      <c r="M46" s="7">
        <f t="shared" si="13"/>
        <v>3.1899999999999977</v>
      </c>
      <c r="N46" s="31">
        <f t="shared" si="4"/>
        <v>18.949744564571688</v>
      </c>
      <c r="O46" s="29">
        <v>45978</v>
      </c>
    </row>
    <row r="47" spans="1:15" x14ac:dyDescent="0.25">
      <c r="A47" s="1">
        <v>2</v>
      </c>
      <c r="B47" s="1">
        <v>203</v>
      </c>
      <c r="C47" s="2" t="s">
        <v>8</v>
      </c>
      <c r="D47" s="21">
        <v>1.6259999999999999</v>
      </c>
      <c r="E47" s="7">
        <v>10.131</v>
      </c>
      <c r="F47" s="23">
        <v>423.93</v>
      </c>
      <c r="G47" s="9">
        <v>21.34</v>
      </c>
      <c r="H47" s="7">
        <f t="shared" si="2"/>
        <v>19.713999999999999</v>
      </c>
      <c r="I47" s="8">
        <v>334.04</v>
      </c>
      <c r="J47" s="19">
        <f t="shared" si="3"/>
        <v>323.90899999999999</v>
      </c>
      <c r="K47" s="19">
        <v>18.09</v>
      </c>
      <c r="L47" s="8">
        <f t="shared" si="12"/>
        <v>16.463999999999999</v>
      </c>
      <c r="M47" s="7">
        <f t="shared" si="13"/>
        <v>3.25</v>
      </c>
      <c r="N47" s="31">
        <f t="shared" si="4"/>
        <v>19.740038872691937</v>
      </c>
      <c r="O47" s="29">
        <v>45978</v>
      </c>
    </row>
    <row r="48" spans="1:15" x14ac:dyDescent="0.25">
      <c r="A48" s="1">
        <v>2</v>
      </c>
      <c r="B48" s="1">
        <v>203</v>
      </c>
      <c r="C48" s="2" t="s">
        <v>9</v>
      </c>
      <c r="D48" s="21">
        <v>1.6259999999999999</v>
      </c>
      <c r="E48" s="7">
        <v>10.131</v>
      </c>
      <c r="F48" s="23">
        <v>671.97</v>
      </c>
      <c r="G48" s="9">
        <v>21.7</v>
      </c>
      <c r="H48" s="7">
        <f t="shared" si="2"/>
        <v>20.073999999999998</v>
      </c>
      <c r="I48" s="8">
        <v>545.07000000000005</v>
      </c>
      <c r="J48" s="19">
        <f t="shared" si="3"/>
        <v>534.93900000000008</v>
      </c>
      <c r="K48" s="19">
        <v>18.09</v>
      </c>
      <c r="L48" s="8">
        <f t="shared" si="12"/>
        <v>16.463999999999999</v>
      </c>
      <c r="M48" s="7">
        <f t="shared" si="13"/>
        <v>3.6099999999999994</v>
      </c>
      <c r="N48" s="31">
        <f t="shared" si="4"/>
        <v>21.926627793974731</v>
      </c>
      <c r="O48" s="29">
        <v>45978</v>
      </c>
    </row>
    <row r="49" spans="1:15" x14ac:dyDescent="0.25">
      <c r="A49" s="1">
        <v>2</v>
      </c>
      <c r="B49" s="1">
        <v>203</v>
      </c>
      <c r="C49" s="2" t="s">
        <v>10</v>
      </c>
      <c r="D49" s="21">
        <v>1.6259999999999999</v>
      </c>
      <c r="E49" s="7">
        <v>10.131</v>
      </c>
      <c r="F49" s="23">
        <v>1005.88</v>
      </c>
      <c r="G49" s="9">
        <v>21.41</v>
      </c>
      <c r="H49" s="7">
        <f t="shared" si="2"/>
        <v>19.783999999999999</v>
      </c>
      <c r="I49" s="8">
        <v>831.29</v>
      </c>
      <c r="J49" s="19">
        <f t="shared" si="3"/>
        <v>821.15899999999999</v>
      </c>
      <c r="K49" s="19">
        <v>18.059999999999999</v>
      </c>
      <c r="L49" s="8">
        <f t="shared" si="12"/>
        <v>16.433999999999997</v>
      </c>
      <c r="M49" s="7">
        <f t="shared" si="13"/>
        <v>3.3500000000000014</v>
      </c>
      <c r="N49" s="31">
        <f t="shared" si="4"/>
        <v>20.384568577339675</v>
      </c>
      <c r="O49" s="29">
        <v>45978</v>
      </c>
    </row>
    <row r="50" spans="1:15" x14ac:dyDescent="0.25">
      <c r="A50" s="1">
        <v>2</v>
      </c>
      <c r="B50" s="1">
        <v>204</v>
      </c>
      <c r="C50" s="2" t="s">
        <v>7</v>
      </c>
      <c r="D50" s="21">
        <v>1.6259999999999999</v>
      </c>
      <c r="E50" s="7">
        <v>10.131</v>
      </c>
      <c r="F50" s="23">
        <v>170.18</v>
      </c>
      <c r="G50" s="9">
        <v>21.62</v>
      </c>
      <c r="H50" s="7">
        <f t="shared" si="2"/>
        <v>19.994</v>
      </c>
      <c r="I50" s="8">
        <v>117.36</v>
      </c>
      <c r="J50" s="19">
        <f t="shared" si="3"/>
        <v>107.229</v>
      </c>
      <c r="K50" s="19">
        <v>18.62</v>
      </c>
      <c r="L50" s="8">
        <f t="shared" si="12"/>
        <v>16.994</v>
      </c>
      <c r="M50" s="7">
        <f t="shared" si="13"/>
        <v>3</v>
      </c>
      <c r="N50" s="31">
        <f t="shared" si="4"/>
        <v>17.653289396257502</v>
      </c>
      <c r="O50" s="29">
        <v>45978</v>
      </c>
    </row>
    <row r="51" spans="1:15" x14ac:dyDescent="0.25">
      <c r="A51" s="1">
        <v>2</v>
      </c>
      <c r="B51" s="1">
        <v>204</v>
      </c>
      <c r="C51" s="2" t="s">
        <v>8</v>
      </c>
      <c r="D51" s="21">
        <v>1.6259999999999999</v>
      </c>
      <c r="E51" s="7">
        <v>10.131</v>
      </c>
      <c r="F51" s="23">
        <v>264.52</v>
      </c>
      <c r="G51" s="9">
        <v>21.74</v>
      </c>
      <c r="H51" s="7">
        <f t="shared" si="2"/>
        <v>20.113999999999997</v>
      </c>
      <c r="I51" s="8">
        <v>198.99</v>
      </c>
      <c r="J51" s="19">
        <f t="shared" si="3"/>
        <v>188.85900000000001</v>
      </c>
      <c r="K51" s="19">
        <v>18.52</v>
      </c>
      <c r="L51" s="8">
        <f t="shared" si="12"/>
        <v>16.893999999999998</v>
      </c>
      <c r="M51" s="7">
        <f t="shared" si="13"/>
        <v>3.2199999999999989</v>
      </c>
      <c r="N51" s="31">
        <f t="shared" si="4"/>
        <v>19.060021309340588</v>
      </c>
      <c r="O51" s="29">
        <v>45978</v>
      </c>
    </row>
    <row r="52" spans="1:15" x14ac:dyDescent="0.25">
      <c r="A52" s="1">
        <v>2</v>
      </c>
      <c r="B52" s="1">
        <v>204</v>
      </c>
      <c r="C52" s="2" t="s">
        <v>9</v>
      </c>
      <c r="D52" s="21">
        <v>1.6259999999999999</v>
      </c>
      <c r="E52" s="7">
        <v>10.131</v>
      </c>
      <c r="F52" s="23">
        <v>626.28</v>
      </c>
      <c r="G52" s="9">
        <v>21.61</v>
      </c>
      <c r="H52" s="7">
        <f t="shared" si="2"/>
        <v>19.983999999999998</v>
      </c>
      <c r="I52" s="8">
        <v>496.75</v>
      </c>
      <c r="J52" s="19">
        <f t="shared" si="3"/>
        <v>486.61900000000003</v>
      </c>
      <c r="K52" s="19">
        <v>17.04</v>
      </c>
      <c r="L52" s="8">
        <f t="shared" si="12"/>
        <v>15.414</v>
      </c>
      <c r="M52" s="7">
        <f t="shared" si="13"/>
        <v>4.5699999999999985</v>
      </c>
      <c r="N52" s="31">
        <f t="shared" si="4"/>
        <v>29.648371610224462</v>
      </c>
      <c r="O52" s="29">
        <v>45978</v>
      </c>
    </row>
    <row r="53" spans="1:15" x14ac:dyDescent="0.25">
      <c r="A53" s="1">
        <v>2</v>
      </c>
      <c r="B53" s="1">
        <v>204</v>
      </c>
      <c r="C53" s="2" t="s">
        <v>10</v>
      </c>
      <c r="D53" s="21">
        <v>1.6259999999999999</v>
      </c>
      <c r="E53" s="7">
        <v>10.131</v>
      </c>
      <c r="F53" s="23">
        <v>1149.93</v>
      </c>
      <c r="G53" s="9">
        <v>21.47</v>
      </c>
      <c r="H53" s="7">
        <f t="shared" si="2"/>
        <v>19.843999999999998</v>
      </c>
      <c r="I53" s="8">
        <v>939.76</v>
      </c>
      <c r="J53" s="19">
        <f t="shared" si="3"/>
        <v>929.62900000000002</v>
      </c>
      <c r="K53" s="19">
        <v>17.829999999999998</v>
      </c>
      <c r="L53" s="8">
        <f t="shared" si="12"/>
        <v>16.203999999999997</v>
      </c>
      <c r="M53" s="7">
        <f t="shared" si="13"/>
        <v>3.6400000000000006</v>
      </c>
      <c r="N53" s="31">
        <f t="shared" si="4"/>
        <v>22.463589237225385</v>
      </c>
      <c r="O53" s="29">
        <v>45978</v>
      </c>
    </row>
    <row r="54" spans="1:15" x14ac:dyDescent="0.25">
      <c r="A54" s="1">
        <v>2</v>
      </c>
      <c r="B54" s="1">
        <v>205</v>
      </c>
      <c r="C54" s="2" t="s">
        <v>7</v>
      </c>
      <c r="D54" s="21">
        <v>1.6259999999999999</v>
      </c>
      <c r="E54" s="7">
        <v>10.131</v>
      </c>
      <c r="F54" s="23">
        <v>248.98</v>
      </c>
      <c r="G54" s="9">
        <v>21.33</v>
      </c>
      <c r="H54" s="7">
        <f t="shared" si="2"/>
        <v>19.703999999999997</v>
      </c>
      <c r="I54" s="8">
        <v>184.36</v>
      </c>
      <c r="J54" s="19">
        <f t="shared" si="3"/>
        <v>174.22900000000001</v>
      </c>
      <c r="K54" s="19">
        <v>18.309999999999999</v>
      </c>
      <c r="L54" s="8">
        <f t="shared" si="12"/>
        <v>16.683999999999997</v>
      </c>
      <c r="M54" s="7">
        <f t="shared" si="13"/>
        <v>3.0199999999999996</v>
      </c>
      <c r="N54" s="31">
        <f t="shared" si="4"/>
        <v>18.101174778230643</v>
      </c>
      <c r="O54" s="29">
        <v>45978</v>
      </c>
    </row>
    <row r="55" spans="1:15" x14ac:dyDescent="0.25">
      <c r="A55" s="1">
        <v>2</v>
      </c>
      <c r="B55" s="1">
        <v>205</v>
      </c>
      <c r="C55" s="2" t="s">
        <v>8</v>
      </c>
      <c r="D55" s="21">
        <v>1.6259999999999999</v>
      </c>
      <c r="E55" s="7">
        <v>10.131</v>
      </c>
      <c r="F55" s="23">
        <v>404.76</v>
      </c>
      <c r="G55" s="9">
        <v>21.43</v>
      </c>
      <c r="H55" s="7">
        <f t="shared" si="2"/>
        <v>19.803999999999998</v>
      </c>
      <c r="I55" s="8">
        <v>316.14</v>
      </c>
      <c r="J55" s="19">
        <f t="shared" si="3"/>
        <v>306.00900000000001</v>
      </c>
      <c r="K55" s="19">
        <v>18.11</v>
      </c>
      <c r="L55" s="8">
        <f t="shared" si="12"/>
        <v>16.483999999999998</v>
      </c>
      <c r="M55" s="7">
        <f t="shared" si="13"/>
        <v>3.3200000000000003</v>
      </c>
      <c r="N55" s="31">
        <f t="shared" si="4"/>
        <v>20.140742538218884</v>
      </c>
      <c r="O55" s="29">
        <v>45978</v>
      </c>
    </row>
    <row r="56" spans="1:15" x14ac:dyDescent="0.25">
      <c r="A56" s="1">
        <v>2</v>
      </c>
      <c r="B56" s="1">
        <v>205</v>
      </c>
      <c r="C56" s="2" t="s">
        <v>9</v>
      </c>
      <c r="D56" s="21">
        <v>1.6259999999999999</v>
      </c>
      <c r="E56" s="7">
        <v>10.131</v>
      </c>
      <c r="F56" s="23">
        <v>690.05</v>
      </c>
      <c r="G56" s="9">
        <v>21.95</v>
      </c>
      <c r="H56" s="7">
        <f t="shared" si="2"/>
        <v>20.323999999999998</v>
      </c>
      <c r="I56" s="8">
        <v>548.05999999999995</v>
      </c>
      <c r="J56" s="19">
        <f t="shared" si="3"/>
        <v>537.92899999999997</v>
      </c>
      <c r="K56" s="19">
        <v>18.28</v>
      </c>
      <c r="L56" s="8">
        <f t="shared" si="12"/>
        <v>16.654</v>
      </c>
      <c r="M56" s="7">
        <f t="shared" si="13"/>
        <v>3.6699999999999982</v>
      </c>
      <c r="N56" s="31">
        <f t="shared" si="4"/>
        <v>22.036747928425594</v>
      </c>
      <c r="O56" s="29">
        <v>45978</v>
      </c>
    </row>
    <row r="57" spans="1:15" x14ac:dyDescent="0.25">
      <c r="A57" s="1">
        <v>2</v>
      </c>
      <c r="B57" s="1">
        <v>205</v>
      </c>
      <c r="C57" s="2" t="s">
        <v>10</v>
      </c>
      <c r="D57" s="21">
        <v>1.6259999999999999</v>
      </c>
      <c r="E57" s="7">
        <v>10.131</v>
      </c>
      <c r="F57" s="23">
        <v>1039.97</v>
      </c>
      <c r="G57" s="9">
        <v>21.61</v>
      </c>
      <c r="H57" s="7">
        <f t="shared" si="2"/>
        <v>19.983999999999998</v>
      </c>
      <c r="I57" s="8">
        <v>839.1</v>
      </c>
      <c r="J57" s="19">
        <f t="shared" si="3"/>
        <v>828.96900000000005</v>
      </c>
      <c r="K57" s="19">
        <v>18</v>
      </c>
      <c r="L57" s="8">
        <f t="shared" si="12"/>
        <v>16.373999999999999</v>
      </c>
      <c r="M57" s="7">
        <f t="shared" si="13"/>
        <v>3.6099999999999994</v>
      </c>
      <c r="N57" s="31">
        <f t="shared" si="4"/>
        <v>22.04714791743007</v>
      </c>
      <c r="O57" s="29">
        <v>45978</v>
      </c>
    </row>
    <row r="58" spans="1:15" x14ac:dyDescent="0.25">
      <c r="A58" s="1">
        <v>2</v>
      </c>
      <c r="B58" s="1">
        <v>206</v>
      </c>
      <c r="C58" s="2" t="s">
        <v>7</v>
      </c>
      <c r="D58" s="21">
        <v>1.6259999999999999</v>
      </c>
      <c r="E58" s="7">
        <v>10.131</v>
      </c>
      <c r="F58" s="23">
        <v>215.62</v>
      </c>
      <c r="G58" s="9">
        <v>21.63</v>
      </c>
      <c r="H58" s="7">
        <f t="shared" si="2"/>
        <v>20.003999999999998</v>
      </c>
      <c r="I58" s="8">
        <v>155.33000000000001</v>
      </c>
      <c r="J58" s="19">
        <f t="shared" si="3"/>
        <v>145.19900000000001</v>
      </c>
      <c r="K58" s="19">
        <v>18.510000000000002</v>
      </c>
      <c r="L58" s="8">
        <f t="shared" si="12"/>
        <v>16.884</v>
      </c>
      <c r="M58" s="7">
        <f t="shared" si="13"/>
        <v>3.1199999999999974</v>
      </c>
      <c r="N58" s="31">
        <f t="shared" si="4"/>
        <v>18.479033404406522</v>
      </c>
      <c r="O58" s="29">
        <v>45978</v>
      </c>
    </row>
    <row r="59" spans="1:15" x14ac:dyDescent="0.25">
      <c r="A59" s="1">
        <v>2</v>
      </c>
      <c r="B59" s="1">
        <v>206</v>
      </c>
      <c r="C59" s="2" t="s">
        <v>8</v>
      </c>
      <c r="D59" s="21">
        <v>1.6259999999999999</v>
      </c>
      <c r="E59" s="7">
        <v>10.131</v>
      </c>
      <c r="F59" s="23">
        <v>319.8</v>
      </c>
      <c r="G59" s="9">
        <v>21.41</v>
      </c>
      <c r="H59" s="7">
        <f t="shared" si="2"/>
        <v>19.783999999999999</v>
      </c>
      <c r="I59" s="8">
        <v>245.86</v>
      </c>
      <c r="J59" s="19">
        <f t="shared" si="3"/>
        <v>235.72900000000001</v>
      </c>
      <c r="K59" s="19">
        <v>18.28</v>
      </c>
      <c r="L59" s="8">
        <f t="shared" si="12"/>
        <v>16.654</v>
      </c>
      <c r="M59" s="7">
        <f t="shared" si="13"/>
        <v>3.129999999999999</v>
      </c>
      <c r="N59" s="31">
        <f t="shared" si="4"/>
        <v>18.794283655578234</v>
      </c>
      <c r="O59" s="29">
        <v>45978</v>
      </c>
    </row>
    <row r="60" spans="1:15" x14ac:dyDescent="0.25">
      <c r="A60" s="1">
        <v>2</v>
      </c>
      <c r="B60" s="1">
        <v>206</v>
      </c>
      <c r="C60" s="2" t="s">
        <v>9</v>
      </c>
      <c r="D60" s="21">
        <v>1.6259999999999999</v>
      </c>
      <c r="E60" s="7">
        <v>10.131</v>
      </c>
      <c r="F60" s="23">
        <v>824.81</v>
      </c>
      <c r="G60" s="9">
        <v>21.21</v>
      </c>
      <c r="H60" s="7">
        <f t="shared" si="2"/>
        <v>19.584</v>
      </c>
      <c r="I60" s="8">
        <v>666.66</v>
      </c>
      <c r="J60" s="19">
        <f t="shared" si="3"/>
        <v>656.529</v>
      </c>
      <c r="K60" s="19">
        <v>17.66</v>
      </c>
      <c r="L60" s="8">
        <f t="shared" si="12"/>
        <v>16.033999999999999</v>
      </c>
      <c r="M60" s="7">
        <f t="shared" si="13"/>
        <v>3.5500000000000007</v>
      </c>
      <c r="N60" s="31">
        <f t="shared" si="4"/>
        <v>22.140451540476494</v>
      </c>
      <c r="O60" s="29">
        <v>45978</v>
      </c>
    </row>
    <row r="61" spans="1:15" x14ac:dyDescent="0.25">
      <c r="A61" s="1">
        <v>2</v>
      </c>
      <c r="B61" s="1">
        <v>206</v>
      </c>
      <c r="C61" s="2" t="s">
        <v>10</v>
      </c>
      <c r="D61" s="21">
        <v>1.6259999999999999</v>
      </c>
      <c r="E61" s="7">
        <v>10.131</v>
      </c>
      <c r="F61" s="23">
        <v>976.39</v>
      </c>
      <c r="G61" s="9">
        <v>21.32</v>
      </c>
      <c r="H61" s="7">
        <f t="shared" si="2"/>
        <v>19.693999999999999</v>
      </c>
      <c r="I61" s="8">
        <v>792.13</v>
      </c>
      <c r="J61" s="19">
        <f t="shared" si="3"/>
        <v>781.99900000000002</v>
      </c>
      <c r="K61" s="19">
        <v>17.71</v>
      </c>
      <c r="L61" s="8">
        <f t="shared" si="12"/>
        <v>16.084</v>
      </c>
      <c r="M61" s="7">
        <f t="shared" si="13"/>
        <v>3.6099999999999994</v>
      </c>
      <c r="N61" s="31">
        <f t="shared" si="4"/>
        <v>22.44466550609301</v>
      </c>
      <c r="O61" s="29">
        <v>45978</v>
      </c>
    </row>
    <row r="62" spans="1:15" x14ac:dyDescent="0.25">
      <c r="A62" s="1">
        <v>2</v>
      </c>
      <c r="B62" s="1">
        <v>207</v>
      </c>
      <c r="C62" s="2" t="s">
        <v>7</v>
      </c>
      <c r="D62" s="21">
        <v>1.6259999999999999</v>
      </c>
      <c r="E62" s="7">
        <v>10.131</v>
      </c>
      <c r="F62" s="23">
        <v>240.5</v>
      </c>
      <c r="G62" s="9">
        <v>21.5</v>
      </c>
      <c r="H62" s="7">
        <f t="shared" si="2"/>
        <v>19.873999999999999</v>
      </c>
      <c r="I62" s="8">
        <v>174.07</v>
      </c>
      <c r="J62" s="19">
        <f t="shared" si="3"/>
        <v>163.93899999999999</v>
      </c>
      <c r="K62" s="19">
        <v>16.53</v>
      </c>
      <c r="L62" s="8">
        <f t="shared" si="12"/>
        <v>14.904000000000002</v>
      </c>
      <c r="M62" s="7">
        <f t="shared" si="13"/>
        <v>4.9699999999999971</v>
      </c>
      <c r="N62" s="31">
        <f t="shared" si="4"/>
        <v>33.346752549651079</v>
      </c>
      <c r="O62" s="29">
        <v>45978</v>
      </c>
    </row>
    <row r="63" spans="1:15" x14ac:dyDescent="0.25">
      <c r="A63" s="1">
        <v>2</v>
      </c>
      <c r="B63" s="1">
        <v>207</v>
      </c>
      <c r="C63" s="2" t="s">
        <v>8</v>
      </c>
      <c r="D63" s="21">
        <v>1.6259999999999999</v>
      </c>
      <c r="E63" s="7">
        <v>10.131</v>
      </c>
      <c r="F63" s="23">
        <v>421.39</v>
      </c>
      <c r="G63" s="9">
        <v>21.43</v>
      </c>
      <c r="H63" s="7">
        <f t="shared" si="2"/>
        <v>19.803999999999998</v>
      </c>
      <c r="I63" s="8">
        <v>325.54000000000002</v>
      </c>
      <c r="J63" s="19">
        <f t="shared" si="3"/>
        <v>315.40899999999999</v>
      </c>
      <c r="K63" s="19">
        <v>18.059999999999999</v>
      </c>
      <c r="L63" s="8">
        <f t="shared" si="12"/>
        <v>16.433999999999997</v>
      </c>
      <c r="M63" s="7">
        <f t="shared" si="13"/>
        <v>3.370000000000001</v>
      </c>
      <c r="N63" s="31">
        <f t="shared" si="4"/>
        <v>20.506267494219308</v>
      </c>
      <c r="O63" s="29">
        <v>45978</v>
      </c>
    </row>
    <row r="64" spans="1:15" x14ac:dyDescent="0.25">
      <c r="A64" s="1">
        <v>2</v>
      </c>
      <c r="B64" s="1">
        <v>207</v>
      </c>
      <c r="C64" s="2" t="s">
        <v>9</v>
      </c>
      <c r="D64" s="21">
        <v>1.6259999999999999</v>
      </c>
      <c r="E64" s="7">
        <v>10.131</v>
      </c>
      <c r="F64" s="23">
        <v>688.36</v>
      </c>
      <c r="G64" s="9">
        <v>21.45</v>
      </c>
      <c r="H64" s="7">
        <f t="shared" si="2"/>
        <v>19.823999999999998</v>
      </c>
      <c r="I64" s="8">
        <v>552.58000000000004</v>
      </c>
      <c r="J64" s="19">
        <f t="shared" si="3"/>
        <v>542.44900000000007</v>
      </c>
      <c r="K64" s="19">
        <v>17.98</v>
      </c>
      <c r="L64" s="8">
        <f t="shared" si="12"/>
        <v>16.353999999999999</v>
      </c>
      <c r="M64" s="7">
        <f t="shared" si="13"/>
        <v>3.4699999999999989</v>
      </c>
      <c r="N64" s="31">
        <f t="shared" si="4"/>
        <v>21.21805062981533</v>
      </c>
      <c r="O64" s="29">
        <v>45978</v>
      </c>
    </row>
    <row r="65" spans="1:15" x14ac:dyDescent="0.25">
      <c r="A65" s="1">
        <v>2</v>
      </c>
      <c r="B65" s="1">
        <v>207</v>
      </c>
      <c r="C65" s="2" t="s">
        <v>10</v>
      </c>
      <c r="D65" s="21">
        <v>1.6259999999999999</v>
      </c>
      <c r="E65" s="7">
        <v>10.131</v>
      </c>
      <c r="F65" s="23">
        <v>1012.83</v>
      </c>
      <c r="G65" s="9">
        <v>21.57</v>
      </c>
      <c r="H65" s="7">
        <f t="shared" si="2"/>
        <v>19.943999999999999</v>
      </c>
      <c r="I65" s="8">
        <v>823.51</v>
      </c>
      <c r="J65" s="19">
        <f t="shared" si="3"/>
        <v>813.37900000000002</v>
      </c>
      <c r="K65" s="19">
        <v>17.98</v>
      </c>
      <c r="L65" s="8">
        <f t="shared" si="12"/>
        <v>16.353999999999999</v>
      </c>
      <c r="M65" s="7">
        <f t="shared" si="13"/>
        <v>3.59</v>
      </c>
      <c r="N65" s="31">
        <f t="shared" si="4"/>
        <v>21.951816069463128</v>
      </c>
      <c r="O65" s="29">
        <v>45978</v>
      </c>
    </row>
    <row r="66" spans="1:15" x14ac:dyDescent="0.25">
      <c r="A66" s="1">
        <v>2</v>
      </c>
      <c r="B66" s="1">
        <v>208</v>
      </c>
      <c r="C66" s="2" t="s">
        <v>7</v>
      </c>
      <c r="D66" s="21">
        <v>1.6259999999999999</v>
      </c>
      <c r="E66" s="7">
        <v>10.131</v>
      </c>
      <c r="F66" s="23">
        <v>262.83</v>
      </c>
      <c r="G66" s="9">
        <v>21.65</v>
      </c>
      <c r="H66" s="7">
        <f t="shared" si="2"/>
        <v>20.023999999999997</v>
      </c>
      <c r="I66" s="8">
        <v>197.46</v>
      </c>
      <c r="J66" s="19">
        <f t="shared" si="3"/>
        <v>187.32900000000001</v>
      </c>
      <c r="K66" s="19">
        <v>18.329999999999998</v>
      </c>
      <c r="L66" s="8">
        <f t="shared" ref="L66:L97" si="15">K66-D66</f>
        <v>16.703999999999997</v>
      </c>
      <c r="M66" s="7">
        <f t="shared" ref="M66:M97" si="16">H66-L66</f>
        <v>3.3200000000000003</v>
      </c>
      <c r="N66" s="31">
        <f t="shared" si="4"/>
        <v>19.875478927203069</v>
      </c>
      <c r="O66" s="29">
        <v>45978</v>
      </c>
    </row>
    <row r="67" spans="1:15" x14ac:dyDescent="0.25">
      <c r="A67" s="1">
        <v>2</v>
      </c>
      <c r="B67" s="1">
        <v>208</v>
      </c>
      <c r="C67" s="2" t="s">
        <v>8</v>
      </c>
      <c r="D67" s="21">
        <v>1.6259999999999999</v>
      </c>
      <c r="E67" s="7">
        <v>10.131</v>
      </c>
      <c r="F67" s="23">
        <v>388.88</v>
      </c>
      <c r="G67" s="9">
        <v>21.94</v>
      </c>
      <c r="H67" s="7">
        <f t="shared" ref="H67:H130" si="17">G67-D67</f>
        <v>20.314</v>
      </c>
      <c r="I67" s="8">
        <v>303.58999999999997</v>
      </c>
      <c r="J67" s="19">
        <f t="shared" ref="J67:J130" si="18">I67-E67</f>
        <v>293.45899999999995</v>
      </c>
      <c r="K67" s="19">
        <v>18.440000000000001</v>
      </c>
      <c r="L67" s="8">
        <f t="shared" si="15"/>
        <v>16.814</v>
      </c>
      <c r="M67" s="7">
        <f t="shared" si="16"/>
        <v>3.5</v>
      </c>
      <c r="N67" s="31">
        <f t="shared" ref="N67:N130" si="19">(M67/L67)*100</f>
        <v>20.815986677768525</v>
      </c>
      <c r="O67" s="29">
        <v>45978</v>
      </c>
    </row>
    <row r="68" spans="1:15" x14ac:dyDescent="0.25">
      <c r="A68" s="1">
        <v>2</v>
      </c>
      <c r="B68" s="1">
        <v>208</v>
      </c>
      <c r="C68" s="2" t="s">
        <v>9</v>
      </c>
      <c r="D68" s="21">
        <v>1.6259999999999999</v>
      </c>
      <c r="E68" s="7">
        <v>10.131</v>
      </c>
      <c r="F68" s="23">
        <v>673.49</v>
      </c>
      <c r="G68" s="9">
        <v>21.88</v>
      </c>
      <c r="H68" s="7">
        <f t="shared" si="17"/>
        <v>20.253999999999998</v>
      </c>
      <c r="I68" s="8">
        <v>548.19000000000005</v>
      </c>
      <c r="J68" s="19">
        <f t="shared" si="18"/>
        <v>538.05900000000008</v>
      </c>
      <c r="K68" s="19">
        <v>18.39</v>
      </c>
      <c r="L68" s="8">
        <f t="shared" si="15"/>
        <v>16.763999999999999</v>
      </c>
      <c r="M68" s="7">
        <f t="shared" si="16"/>
        <v>3.4899999999999984</v>
      </c>
      <c r="N68" s="31">
        <f t="shared" si="19"/>
        <v>20.818420424719626</v>
      </c>
      <c r="O68" s="29">
        <v>45978</v>
      </c>
    </row>
    <row r="69" spans="1:15" x14ac:dyDescent="0.25">
      <c r="A69" s="1">
        <v>2</v>
      </c>
      <c r="B69" s="1">
        <v>208</v>
      </c>
      <c r="C69" s="2" t="s">
        <v>10</v>
      </c>
      <c r="D69" s="21">
        <v>1.6259999999999999</v>
      </c>
      <c r="E69" s="7">
        <v>10.131</v>
      </c>
      <c r="F69" s="23">
        <v>1031.46</v>
      </c>
      <c r="G69" s="9">
        <v>21.27</v>
      </c>
      <c r="H69" s="7">
        <f t="shared" si="17"/>
        <v>19.643999999999998</v>
      </c>
      <c r="I69" s="8">
        <v>848.74</v>
      </c>
      <c r="J69" s="19">
        <f t="shared" si="18"/>
        <v>838.60900000000004</v>
      </c>
      <c r="K69" s="19">
        <v>17.84</v>
      </c>
      <c r="L69" s="8">
        <f t="shared" si="15"/>
        <v>16.213999999999999</v>
      </c>
      <c r="M69" s="7">
        <f t="shared" si="16"/>
        <v>3.4299999999999997</v>
      </c>
      <c r="N69" s="31">
        <f t="shared" si="19"/>
        <v>21.154557789564574</v>
      </c>
      <c r="O69" s="29">
        <v>45978</v>
      </c>
    </row>
    <row r="70" spans="1:15" x14ac:dyDescent="0.25">
      <c r="A70" s="1">
        <v>2</v>
      </c>
      <c r="B70" s="1">
        <v>209</v>
      </c>
      <c r="C70" s="2" t="s">
        <v>7</v>
      </c>
      <c r="D70" s="21">
        <v>1.6259999999999999</v>
      </c>
      <c r="E70" s="7">
        <v>10.131</v>
      </c>
      <c r="F70" s="23">
        <v>243.47</v>
      </c>
      <c r="G70" s="9">
        <v>21.71</v>
      </c>
      <c r="H70" s="7">
        <f t="shared" si="17"/>
        <v>20.084</v>
      </c>
      <c r="I70" s="8">
        <v>174.29</v>
      </c>
      <c r="J70" s="19">
        <f t="shared" si="18"/>
        <v>164.15899999999999</v>
      </c>
      <c r="K70" s="19">
        <v>17.98</v>
      </c>
      <c r="L70" s="8">
        <f t="shared" si="15"/>
        <v>16.353999999999999</v>
      </c>
      <c r="M70" s="7">
        <f t="shared" si="16"/>
        <v>3.7300000000000004</v>
      </c>
      <c r="N70" s="31">
        <f t="shared" si="19"/>
        <v>22.807875749052222</v>
      </c>
      <c r="O70" s="29">
        <v>45978</v>
      </c>
    </row>
    <row r="71" spans="1:15" x14ac:dyDescent="0.25">
      <c r="A71" s="1">
        <v>2</v>
      </c>
      <c r="B71" s="1">
        <v>209</v>
      </c>
      <c r="C71" s="2" t="s">
        <v>8</v>
      </c>
      <c r="D71" s="21">
        <v>1.6259999999999999</v>
      </c>
      <c r="E71" s="7">
        <v>10.131</v>
      </c>
      <c r="F71" s="23">
        <v>435.53</v>
      </c>
      <c r="G71" s="9">
        <v>21.24</v>
      </c>
      <c r="H71" s="7">
        <f t="shared" si="17"/>
        <v>19.613999999999997</v>
      </c>
      <c r="I71" s="8">
        <v>336.51</v>
      </c>
      <c r="J71" s="19">
        <f t="shared" si="18"/>
        <v>326.37900000000002</v>
      </c>
      <c r="K71" s="19">
        <v>17.63</v>
      </c>
      <c r="L71" s="8">
        <f t="shared" si="15"/>
        <v>16.003999999999998</v>
      </c>
      <c r="M71" s="7">
        <f t="shared" si="16"/>
        <v>3.6099999999999994</v>
      </c>
      <c r="N71" s="31">
        <f t="shared" si="19"/>
        <v>22.556860784803799</v>
      </c>
      <c r="O71" s="29">
        <v>45978</v>
      </c>
    </row>
    <row r="72" spans="1:15" x14ac:dyDescent="0.25">
      <c r="A72" s="1">
        <v>2</v>
      </c>
      <c r="B72" s="1">
        <v>209</v>
      </c>
      <c r="C72" s="2" t="s">
        <v>9</v>
      </c>
      <c r="D72" s="21">
        <v>1.6259999999999999</v>
      </c>
      <c r="E72" s="7">
        <v>10.131</v>
      </c>
      <c r="F72" s="23">
        <v>690.78</v>
      </c>
      <c r="G72" s="9">
        <v>21.82</v>
      </c>
      <c r="H72" s="7">
        <f t="shared" si="17"/>
        <v>20.193999999999999</v>
      </c>
      <c r="I72" s="8">
        <v>552.21</v>
      </c>
      <c r="J72" s="19">
        <f t="shared" si="18"/>
        <v>542.07900000000006</v>
      </c>
      <c r="K72" s="19">
        <v>18.27</v>
      </c>
      <c r="L72" s="8">
        <f t="shared" si="15"/>
        <v>16.643999999999998</v>
      </c>
      <c r="M72" s="7">
        <f t="shared" si="16"/>
        <v>3.5500000000000007</v>
      </c>
      <c r="N72" s="31">
        <f t="shared" si="19"/>
        <v>21.329007450132188</v>
      </c>
      <c r="O72" s="29">
        <v>45978</v>
      </c>
    </row>
    <row r="73" spans="1:15" x14ac:dyDescent="0.25">
      <c r="A73" s="1">
        <v>2</v>
      </c>
      <c r="B73" s="1">
        <v>209</v>
      </c>
      <c r="C73" s="2" t="s">
        <v>10</v>
      </c>
      <c r="D73" s="21">
        <v>1.6259999999999999</v>
      </c>
      <c r="E73" s="7">
        <v>10.131</v>
      </c>
      <c r="F73" s="23">
        <v>1015.47</v>
      </c>
      <c r="G73" s="9">
        <v>21.61</v>
      </c>
      <c r="H73" s="7">
        <f t="shared" si="17"/>
        <v>19.983999999999998</v>
      </c>
      <c r="I73" s="8">
        <v>822.46</v>
      </c>
      <c r="J73" s="19">
        <f t="shared" si="18"/>
        <v>812.32900000000006</v>
      </c>
      <c r="K73" s="19">
        <v>17.989999999999998</v>
      </c>
      <c r="L73" s="8">
        <f t="shared" si="15"/>
        <v>16.363999999999997</v>
      </c>
      <c r="M73" s="7">
        <f t="shared" si="16"/>
        <v>3.620000000000001</v>
      </c>
      <c r="N73" s="31">
        <f t="shared" si="19"/>
        <v>22.121730628208272</v>
      </c>
      <c r="O73" s="29">
        <v>45978</v>
      </c>
    </row>
    <row r="74" spans="1:15" x14ac:dyDescent="0.25">
      <c r="A74" s="1">
        <v>3</v>
      </c>
      <c r="B74" s="1">
        <v>301</v>
      </c>
      <c r="C74" s="2" t="s">
        <v>7</v>
      </c>
      <c r="D74" s="21">
        <v>1.6259999999999999</v>
      </c>
      <c r="E74" s="7">
        <v>10.131</v>
      </c>
      <c r="F74" s="23">
        <v>256.77</v>
      </c>
      <c r="G74" s="9">
        <v>21.69</v>
      </c>
      <c r="H74" s="7">
        <f t="shared" si="17"/>
        <v>20.064</v>
      </c>
      <c r="I74" s="8">
        <v>190.71</v>
      </c>
      <c r="J74" s="19">
        <f t="shared" si="18"/>
        <v>180.57900000000001</v>
      </c>
      <c r="K74" s="19">
        <v>18.5</v>
      </c>
      <c r="L74" s="8">
        <f t="shared" si="15"/>
        <v>16.873999999999999</v>
      </c>
      <c r="M74" s="7">
        <f t="shared" si="16"/>
        <v>3.1900000000000013</v>
      </c>
      <c r="N74" s="31">
        <f t="shared" si="19"/>
        <v>18.90482398956976</v>
      </c>
      <c r="O74" s="29">
        <v>45978</v>
      </c>
    </row>
    <row r="75" spans="1:15" x14ac:dyDescent="0.25">
      <c r="A75" s="1">
        <v>3</v>
      </c>
      <c r="B75" s="1">
        <v>301</v>
      </c>
      <c r="C75" s="2" t="s">
        <v>8</v>
      </c>
      <c r="D75" s="21">
        <v>1.6259999999999999</v>
      </c>
      <c r="E75" s="7">
        <v>10.131</v>
      </c>
      <c r="F75" s="23">
        <v>458.43</v>
      </c>
      <c r="G75" s="9">
        <v>21.74</v>
      </c>
      <c r="H75" s="7">
        <f t="shared" si="17"/>
        <v>20.113999999999997</v>
      </c>
      <c r="I75" s="8">
        <v>365.76</v>
      </c>
      <c r="J75" s="19">
        <f t="shared" si="18"/>
        <v>355.62900000000002</v>
      </c>
      <c r="K75" s="19">
        <v>18.55</v>
      </c>
      <c r="L75" s="8">
        <f t="shared" si="15"/>
        <v>16.923999999999999</v>
      </c>
      <c r="M75" s="7">
        <f t="shared" si="16"/>
        <v>3.1899999999999977</v>
      </c>
      <c r="N75" s="31">
        <f t="shared" si="19"/>
        <v>18.848971874261391</v>
      </c>
      <c r="O75" s="29">
        <v>45978</v>
      </c>
    </row>
    <row r="76" spans="1:15" x14ac:dyDescent="0.25">
      <c r="A76" s="1">
        <v>3</v>
      </c>
      <c r="B76" s="1">
        <v>301</v>
      </c>
      <c r="C76" s="2" t="s">
        <v>9</v>
      </c>
      <c r="D76" s="21">
        <v>1.6259999999999999</v>
      </c>
      <c r="E76" s="7">
        <v>10.131</v>
      </c>
      <c r="F76" s="23">
        <v>734.56</v>
      </c>
      <c r="G76" s="9">
        <v>21.6</v>
      </c>
      <c r="H76" s="7">
        <f t="shared" si="17"/>
        <v>19.974</v>
      </c>
      <c r="I76" s="8">
        <v>598.12</v>
      </c>
      <c r="J76" s="19">
        <f t="shared" si="18"/>
        <v>587.98900000000003</v>
      </c>
      <c r="K76" s="19">
        <v>18.190000000000001</v>
      </c>
      <c r="L76" s="8">
        <f t="shared" si="15"/>
        <v>16.564</v>
      </c>
      <c r="M76" s="7">
        <f t="shared" si="16"/>
        <v>3.41</v>
      </c>
      <c r="N76" s="31">
        <f t="shared" si="19"/>
        <v>20.586814779038882</v>
      </c>
      <c r="O76" s="29">
        <v>45978</v>
      </c>
    </row>
    <row r="77" spans="1:15" x14ac:dyDescent="0.25">
      <c r="A77" s="1">
        <v>3</v>
      </c>
      <c r="B77" s="1">
        <v>301</v>
      </c>
      <c r="C77" s="2" t="s">
        <v>10</v>
      </c>
      <c r="D77" s="21">
        <v>1.6259999999999999</v>
      </c>
      <c r="E77" s="7">
        <v>10.131</v>
      </c>
      <c r="F77" s="23">
        <v>1003.37</v>
      </c>
      <c r="G77" s="9">
        <v>21.78</v>
      </c>
      <c r="H77" s="7">
        <f t="shared" si="17"/>
        <v>20.154</v>
      </c>
      <c r="I77" s="8">
        <v>819.38</v>
      </c>
      <c r="J77" s="19">
        <f t="shared" si="18"/>
        <v>809.24900000000002</v>
      </c>
      <c r="K77" s="19">
        <v>18.03</v>
      </c>
      <c r="L77" s="8">
        <f t="shared" si="15"/>
        <v>16.404</v>
      </c>
      <c r="M77" s="7">
        <f t="shared" si="16"/>
        <v>3.75</v>
      </c>
      <c r="N77" s="31">
        <f t="shared" si="19"/>
        <v>22.86027798098025</v>
      </c>
      <c r="O77" s="29">
        <v>45978</v>
      </c>
    </row>
    <row r="78" spans="1:15" x14ac:dyDescent="0.25">
      <c r="A78" s="1">
        <v>3</v>
      </c>
      <c r="B78" s="1">
        <v>302</v>
      </c>
      <c r="C78" s="2" t="s">
        <v>7</v>
      </c>
      <c r="D78" s="21">
        <v>1.6259999999999999</v>
      </c>
      <c r="E78" s="7">
        <v>10.131</v>
      </c>
      <c r="F78" s="23">
        <v>275.51</v>
      </c>
      <c r="G78" s="9">
        <v>21.82</v>
      </c>
      <c r="H78" s="7">
        <f t="shared" si="17"/>
        <v>20.193999999999999</v>
      </c>
      <c r="I78" s="8">
        <v>206.6</v>
      </c>
      <c r="J78" s="19">
        <f t="shared" si="18"/>
        <v>196.46899999999999</v>
      </c>
      <c r="K78" s="19">
        <v>18.309999999999999</v>
      </c>
      <c r="L78" s="8">
        <f t="shared" si="15"/>
        <v>16.683999999999997</v>
      </c>
      <c r="M78" s="7">
        <f t="shared" si="16"/>
        <v>3.5100000000000016</v>
      </c>
      <c r="N78" s="31">
        <f t="shared" si="19"/>
        <v>21.038120354830987</v>
      </c>
      <c r="O78" s="29">
        <v>45978</v>
      </c>
    </row>
    <row r="79" spans="1:15" x14ac:dyDescent="0.25">
      <c r="A79" s="1">
        <v>3</v>
      </c>
      <c r="B79" s="1">
        <v>302</v>
      </c>
      <c r="C79" s="2" t="s">
        <v>8</v>
      </c>
      <c r="D79" s="21">
        <v>1.6259999999999999</v>
      </c>
      <c r="E79" s="7">
        <v>10.131</v>
      </c>
      <c r="F79" s="23">
        <v>429.35</v>
      </c>
      <c r="G79" s="9">
        <v>21.7</v>
      </c>
      <c r="H79" s="7">
        <f t="shared" si="17"/>
        <v>20.073999999999998</v>
      </c>
      <c r="I79" s="8">
        <v>339.43</v>
      </c>
      <c r="J79" s="19">
        <f t="shared" si="18"/>
        <v>329.29899999999998</v>
      </c>
      <c r="K79" s="19">
        <v>18.489999999999998</v>
      </c>
      <c r="L79" s="8">
        <f t="shared" si="15"/>
        <v>16.863999999999997</v>
      </c>
      <c r="M79" s="7">
        <f t="shared" si="16"/>
        <v>3.2100000000000009</v>
      </c>
      <c r="N79" s="31">
        <f t="shared" si="19"/>
        <v>19.034629981024676</v>
      </c>
      <c r="O79" s="29">
        <v>45978</v>
      </c>
    </row>
    <row r="80" spans="1:15" x14ac:dyDescent="0.25">
      <c r="A80" s="1">
        <v>3</v>
      </c>
      <c r="B80" s="1">
        <v>302</v>
      </c>
      <c r="C80" s="2" t="s">
        <v>9</v>
      </c>
      <c r="D80" s="21">
        <v>1.6259999999999999</v>
      </c>
      <c r="E80" s="7">
        <v>10.131</v>
      </c>
      <c r="F80" s="23">
        <v>744.81</v>
      </c>
      <c r="G80" s="9">
        <v>21.73</v>
      </c>
      <c r="H80" s="7">
        <f t="shared" si="17"/>
        <v>20.103999999999999</v>
      </c>
      <c r="I80" s="8">
        <v>609.5</v>
      </c>
      <c r="J80" s="19">
        <f t="shared" si="18"/>
        <v>599.36900000000003</v>
      </c>
      <c r="K80" s="19">
        <v>18.41</v>
      </c>
      <c r="L80" s="8">
        <f t="shared" si="15"/>
        <v>16.783999999999999</v>
      </c>
      <c r="M80" s="7">
        <f t="shared" si="16"/>
        <v>3.3200000000000003</v>
      </c>
      <c r="N80" s="31">
        <f t="shared" si="19"/>
        <v>19.780743565300288</v>
      </c>
      <c r="O80" s="29">
        <v>45978</v>
      </c>
    </row>
    <row r="81" spans="1:15" x14ac:dyDescent="0.25">
      <c r="A81" s="1">
        <v>3</v>
      </c>
      <c r="B81" s="1">
        <v>302</v>
      </c>
      <c r="C81" s="2" t="s">
        <v>10</v>
      </c>
      <c r="D81" s="21">
        <v>1.6259999999999999</v>
      </c>
      <c r="E81" s="7">
        <v>10.131</v>
      </c>
      <c r="F81" s="23">
        <v>980.76</v>
      </c>
      <c r="G81" s="9">
        <v>21.84</v>
      </c>
      <c r="H81" s="7">
        <f t="shared" si="17"/>
        <v>20.213999999999999</v>
      </c>
      <c r="I81" s="8">
        <v>802.79</v>
      </c>
      <c r="J81" s="19">
        <f t="shared" si="18"/>
        <v>792.65899999999999</v>
      </c>
      <c r="K81" s="19">
        <v>18.18</v>
      </c>
      <c r="L81" s="8">
        <f t="shared" si="15"/>
        <v>16.553999999999998</v>
      </c>
      <c r="M81" s="7">
        <f t="shared" si="16"/>
        <v>3.66</v>
      </c>
      <c r="N81" s="31">
        <f t="shared" si="19"/>
        <v>22.10945994925698</v>
      </c>
      <c r="O81" s="29">
        <v>45978</v>
      </c>
    </row>
    <row r="82" spans="1:15" x14ac:dyDescent="0.25">
      <c r="A82" s="1">
        <v>3</v>
      </c>
      <c r="B82" s="1">
        <v>303</v>
      </c>
      <c r="C82" s="2" t="s">
        <v>7</v>
      </c>
      <c r="D82" s="21">
        <v>1.6259999999999999</v>
      </c>
      <c r="E82" s="7">
        <v>10.131</v>
      </c>
      <c r="F82" s="23">
        <v>244.58</v>
      </c>
      <c r="G82" s="9">
        <v>21.64</v>
      </c>
      <c r="H82" s="7">
        <f t="shared" si="17"/>
        <v>20.013999999999999</v>
      </c>
      <c r="I82" s="8">
        <v>180.71</v>
      </c>
      <c r="J82" s="19">
        <f t="shared" si="18"/>
        <v>170.57900000000001</v>
      </c>
      <c r="K82" s="19">
        <v>18.52</v>
      </c>
      <c r="L82" s="8">
        <f t="shared" si="15"/>
        <v>16.893999999999998</v>
      </c>
      <c r="M82" s="7">
        <f t="shared" si="16"/>
        <v>3.120000000000001</v>
      </c>
      <c r="N82" s="31">
        <f t="shared" si="19"/>
        <v>18.468095181721328</v>
      </c>
      <c r="O82" s="29">
        <v>45978</v>
      </c>
    </row>
    <row r="83" spans="1:15" x14ac:dyDescent="0.25">
      <c r="A83" s="1">
        <v>3</v>
      </c>
      <c r="B83" s="1">
        <v>303</v>
      </c>
      <c r="C83" s="2" t="s">
        <v>8</v>
      </c>
      <c r="D83" s="21">
        <v>1.6259999999999999</v>
      </c>
      <c r="E83" s="7">
        <v>10.131</v>
      </c>
      <c r="F83" s="23">
        <v>328.63</v>
      </c>
      <c r="G83" s="9">
        <v>21.82</v>
      </c>
      <c r="H83" s="7">
        <f t="shared" si="17"/>
        <v>20.193999999999999</v>
      </c>
      <c r="I83" s="8">
        <v>254.54</v>
      </c>
      <c r="J83" s="19">
        <f t="shared" si="18"/>
        <v>244.40899999999999</v>
      </c>
      <c r="K83" s="19">
        <v>18.559999999999999</v>
      </c>
      <c r="L83" s="8">
        <f t="shared" si="15"/>
        <v>16.933999999999997</v>
      </c>
      <c r="M83" s="7">
        <f t="shared" si="16"/>
        <v>3.2600000000000016</v>
      </c>
      <c r="N83" s="31">
        <f t="shared" si="19"/>
        <v>19.251210582260551</v>
      </c>
      <c r="O83" s="29">
        <v>45978</v>
      </c>
    </row>
    <row r="84" spans="1:15" x14ac:dyDescent="0.25">
      <c r="A84" s="1">
        <v>3</v>
      </c>
      <c r="B84" s="1">
        <v>303</v>
      </c>
      <c r="C84" s="2" t="s">
        <v>9</v>
      </c>
      <c r="D84" s="21">
        <v>1.6259999999999999</v>
      </c>
      <c r="E84" s="7">
        <v>10.131</v>
      </c>
      <c r="F84" s="23">
        <v>699.65</v>
      </c>
      <c r="G84" s="9">
        <v>21.6</v>
      </c>
      <c r="H84" s="7">
        <f t="shared" si="17"/>
        <v>19.974</v>
      </c>
      <c r="I84" s="8">
        <v>575.9</v>
      </c>
      <c r="J84" s="19">
        <f t="shared" si="18"/>
        <v>565.76900000000001</v>
      </c>
      <c r="K84" s="19">
        <v>18.32</v>
      </c>
      <c r="L84" s="8">
        <f t="shared" si="15"/>
        <v>16.693999999999999</v>
      </c>
      <c r="M84" s="7">
        <f t="shared" si="16"/>
        <v>3.2800000000000011</v>
      </c>
      <c r="N84" s="31">
        <f t="shared" si="19"/>
        <v>19.64777764466276</v>
      </c>
      <c r="O84" s="29">
        <v>45978</v>
      </c>
    </row>
    <row r="85" spans="1:15" x14ac:dyDescent="0.25">
      <c r="A85" s="1">
        <v>3</v>
      </c>
      <c r="B85" s="1">
        <v>303</v>
      </c>
      <c r="C85" s="2" t="s">
        <v>10</v>
      </c>
      <c r="D85" s="21">
        <v>1.6259999999999999</v>
      </c>
      <c r="E85" s="7">
        <v>10.131</v>
      </c>
      <c r="F85" s="23">
        <v>1167.5</v>
      </c>
      <c r="G85" s="9">
        <v>21.73</v>
      </c>
      <c r="H85" s="7">
        <f t="shared" si="17"/>
        <v>20.103999999999999</v>
      </c>
      <c r="I85" s="8">
        <v>964.42</v>
      </c>
      <c r="J85" s="19">
        <f t="shared" si="18"/>
        <v>954.28899999999999</v>
      </c>
      <c r="K85" s="19">
        <v>17.989999999999998</v>
      </c>
      <c r="L85" s="8">
        <f t="shared" si="15"/>
        <v>16.363999999999997</v>
      </c>
      <c r="M85" s="7">
        <f t="shared" si="16"/>
        <v>3.740000000000002</v>
      </c>
      <c r="N85" s="31">
        <f t="shared" si="19"/>
        <v>22.855047665607447</v>
      </c>
      <c r="O85" s="29">
        <v>45978</v>
      </c>
    </row>
    <row r="86" spans="1:15" x14ac:dyDescent="0.25">
      <c r="A86" s="1">
        <v>3</v>
      </c>
      <c r="B86" s="1">
        <v>304</v>
      </c>
      <c r="C86" s="2" t="s">
        <v>7</v>
      </c>
      <c r="D86" s="21">
        <v>1.6259999999999999</v>
      </c>
      <c r="E86" s="7">
        <v>10.131</v>
      </c>
      <c r="F86" s="23">
        <v>233.75</v>
      </c>
      <c r="G86" s="9">
        <v>21.74</v>
      </c>
      <c r="H86" s="7">
        <f t="shared" si="17"/>
        <v>20.113999999999997</v>
      </c>
      <c r="I86" s="8">
        <v>165.7</v>
      </c>
      <c r="J86" s="19">
        <f t="shared" si="18"/>
        <v>155.56899999999999</v>
      </c>
      <c r="K86" s="19">
        <v>17.77</v>
      </c>
      <c r="L86" s="8">
        <f t="shared" si="15"/>
        <v>16.143999999999998</v>
      </c>
      <c r="M86" s="7">
        <f t="shared" si="16"/>
        <v>3.9699999999999989</v>
      </c>
      <c r="N86" s="31">
        <f t="shared" si="19"/>
        <v>24.591179385530225</v>
      </c>
      <c r="O86" s="29">
        <v>45978</v>
      </c>
    </row>
    <row r="87" spans="1:15" x14ac:dyDescent="0.25">
      <c r="A87" s="1">
        <v>3</v>
      </c>
      <c r="B87" s="1">
        <v>304</v>
      </c>
      <c r="C87" s="2" t="s">
        <v>8</v>
      </c>
      <c r="D87" s="21">
        <v>1.6259999999999999</v>
      </c>
      <c r="E87" s="7">
        <v>10.131</v>
      </c>
      <c r="F87" s="23">
        <v>411.63</v>
      </c>
      <c r="G87" s="9">
        <v>21.42</v>
      </c>
      <c r="H87" s="7">
        <f t="shared" si="17"/>
        <v>19.794</v>
      </c>
      <c r="I87" s="8">
        <v>324.73</v>
      </c>
      <c r="J87" s="19">
        <f t="shared" si="18"/>
        <v>314.59900000000005</v>
      </c>
      <c r="K87" s="19">
        <v>18.18</v>
      </c>
      <c r="L87" s="8">
        <f t="shared" si="15"/>
        <v>16.553999999999998</v>
      </c>
      <c r="M87" s="7">
        <f t="shared" si="16"/>
        <v>3.240000000000002</v>
      </c>
      <c r="N87" s="31">
        <f t="shared" si="19"/>
        <v>19.572308807538978</v>
      </c>
      <c r="O87" s="29">
        <v>45978</v>
      </c>
    </row>
    <row r="88" spans="1:15" x14ac:dyDescent="0.25">
      <c r="A88" s="1">
        <v>3</v>
      </c>
      <c r="B88" s="1">
        <v>304</v>
      </c>
      <c r="C88" s="2" t="s">
        <v>9</v>
      </c>
      <c r="D88" s="21">
        <v>1.6259999999999999</v>
      </c>
      <c r="E88" s="7">
        <v>10.131</v>
      </c>
      <c r="F88" s="23">
        <v>697.92</v>
      </c>
      <c r="G88" s="9">
        <v>21.83</v>
      </c>
      <c r="H88" s="7">
        <f t="shared" si="17"/>
        <v>20.203999999999997</v>
      </c>
      <c r="I88" s="8">
        <v>578.26</v>
      </c>
      <c r="J88" s="19">
        <f t="shared" si="18"/>
        <v>568.12900000000002</v>
      </c>
      <c r="K88" s="19">
        <v>18.68</v>
      </c>
      <c r="L88" s="8">
        <f t="shared" si="15"/>
        <v>17.053999999999998</v>
      </c>
      <c r="M88" s="7">
        <f t="shared" si="16"/>
        <v>3.1499999999999986</v>
      </c>
      <c r="N88" s="31">
        <f t="shared" si="19"/>
        <v>18.470740002345483</v>
      </c>
      <c r="O88" s="29">
        <v>45978</v>
      </c>
    </row>
    <row r="89" spans="1:15" x14ac:dyDescent="0.25">
      <c r="A89" s="1">
        <v>3</v>
      </c>
      <c r="B89" s="1">
        <v>304</v>
      </c>
      <c r="C89" s="2" t="s">
        <v>10</v>
      </c>
      <c r="D89" s="21">
        <v>1.6259999999999999</v>
      </c>
      <c r="E89" s="7">
        <v>10.131</v>
      </c>
      <c r="F89" s="23">
        <v>934.87</v>
      </c>
      <c r="G89" s="9">
        <v>21.36</v>
      </c>
      <c r="H89" s="7">
        <f t="shared" si="17"/>
        <v>19.733999999999998</v>
      </c>
      <c r="I89" s="8">
        <v>768.76</v>
      </c>
      <c r="J89" s="19">
        <f t="shared" si="18"/>
        <v>758.62900000000002</v>
      </c>
      <c r="K89" s="19">
        <v>17.89</v>
      </c>
      <c r="L89" s="8">
        <f t="shared" si="15"/>
        <v>16.263999999999999</v>
      </c>
      <c r="M89" s="7">
        <f t="shared" si="16"/>
        <v>3.4699999999999989</v>
      </c>
      <c r="N89" s="31">
        <f t="shared" si="19"/>
        <v>21.335464830300044</v>
      </c>
      <c r="O89" s="29">
        <v>45978</v>
      </c>
    </row>
    <row r="90" spans="1:15" x14ac:dyDescent="0.25">
      <c r="A90" s="1">
        <v>3</v>
      </c>
      <c r="B90" s="1">
        <v>305</v>
      </c>
      <c r="C90" s="2" t="s">
        <v>7</v>
      </c>
      <c r="D90" s="21">
        <v>1.6259999999999999</v>
      </c>
      <c r="E90" s="7">
        <v>10.131</v>
      </c>
      <c r="F90" s="23">
        <v>192.99</v>
      </c>
      <c r="G90" s="9">
        <v>21.83</v>
      </c>
      <c r="H90" s="7">
        <f t="shared" si="17"/>
        <v>20.203999999999997</v>
      </c>
      <c r="I90" s="8">
        <v>128.63999999999999</v>
      </c>
      <c r="J90" s="19">
        <f t="shared" si="18"/>
        <v>118.50899999999999</v>
      </c>
      <c r="K90" s="19">
        <v>17.52</v>
      </c>
      <c r="L90" s="8">
        <f t="shared" si="15"/>
        <v>15.894</v>
      </c>
      <c r="M90" s="7">
        <f t="shared" si="16"/>
        <v>4.3099999999999969</v>
      </c>
      <c r="N90" s="31">
        <f t="shared" si="19"/>
        <v>27.11715112621113</v>
      </c>
      <c r="O90" s="29">
        <v>45978</v>
      </c>
    </row>
    <row r="91" spans="1:15" x14ac:dyDescent="0.25">
      <c r="A91" s="1">
        <v>3</v>
      </c>
      <c r="B91" s="1">
        <v>305</v>
      </c>
      <c r="C91" s="2" t="s">
        <v>8</v>
      </c>
      <c r="D91" s="21">
        <v>1.6259999999999999</v>
      </c>
      <c r="E91" s="7">
        <v>10.131</v>
      </c>
      <c r="F91" s="23">
        <v>379.54</v>
      </c>
      <c r="G91" s="9">
        <v>21.87</v>
      </c>
      <c r="H91" s="7">
        <f t="shared" si="17"/>
        <v>20.244</v>
      </c>
      <c r="I91" s="8">
        <v>291.79000000000002</v>
      </c>
      <c r="J91" s="19">
        <f t="shared" si="18"/>
        <v>281.65899999999999</v>
      </c>
      <c r="K91" s="19">
        <v>18.21</v>
      </c>
      <c r="L91" s="8">
        <f t="shared" si="15"/>
        <v>16.584</v>
      </c>
      <c r="M91" s="7">
        <f t="shared" si="16"/>
        <v>3.66</v>
      </c>
      <c r="N91" s="31">
        <f t="shared" si="19"/>
        <v>22.069464544138931</v>
      </c>
      <c r="O91" s="29">
        <v>45978</v>
      </c>
    </row>
    <row r="92" spans="1:15" x14ac:dyDescent="0.25">
      <c r="A92" s="1">
        <v>3</v>
      </c>
      <c r="B92" s="1">
        <v>305</v>
      </c>
      <c r="C92" s="2" t="s">
        <v>9</v>
      </c>
      <c r="D92" s="21">
        <v>1.6259999999999999</v>
      </c>
      <c r="E92" s="7">
        <v>10.131</v>
      </c>
      <c r="F92" s="23">
        <v>697.26</v>
      </c>
      <c r="G92" s="9">
        <v>21.56</v>
      </c>
      <c r="H92" s="7">
        <f t="shared" si="17"/>
        <v>19.933999999999997</v>
      </c>
      <c r="I92" s="8">
        <v>571.23</v>
      </c>
      <c r="J92" s="19">
        <f t="shared" si="18"/>
        <v>561.09900000000005</v>
      </c>
      <c r="K92" s="19">
        <v>18.3</v>
      </c>
      <c r="L92" s="8">
        <f t="shared" si="15"/>
        <v>16.673999999999999</v>
      </c>
      <c r="M92" s="7">
        <f t="shared" si="16"/>
        <v>3.259999999999998</v>
      </c>
      <c r="N92" s="31">
        <f t="shared" si="19"/>
        <v>19.551397385150523</v>
      </c>
      <c r="O92" s="29">
        <v>45978</v>
      </c>
    </row>
    <row r="93" spans="1:15" x14ac:dyDescent="0.25">
      <c r="A93" s="1">
        <v>3</v>
      </c>
      <c r="B93" s="1">
        <v>305</v>
      </c>
      <c r="C93" s="2" t="s">
        <v>10</v>
      </c>
      <c r="D93" s="21">
        <v>1.6259999999999999</v>
      </c>
      <c r="E93" s="7">
        <v>10.131</v>
      </c>
      <c r="F93" s="23">
        <v>951.86</v>
      </c>
      <c r="G93" s="9">
        <v>21.68</v>
      </c>
      <c r="H93" s="7">
        <f t="shared" si="17"/>
        <v>20.053999999999998</v>
      </c>
      <c r="I93" s="8">
        <v>778.65</v>
      </c>
      <c r="J93" s="19">
        <f t="shared" si="18"/>
        <v>768.51900000000001</v>
      </c>
      <c r="K93" s="19">
        <v>17.97</v>
      </c>
      <c r="L93" s="8">
        <f t="shared" si="15"/>
        <v>16.343999999999998</v>
      </c>
      <c r="M93" s="7">
        <f t="shared" si="16"/>
        <v>3.7100000000000009</v>
      </c>
      <c r="N93" s="31">
        <f t="shared" si="19"/>
        <v>22.699461576113567</v>
      </c>
      <c r="O93" s="29">
        <v>45978</v>
      </c>
    </row>
    <row r="94" spans="1:15" x14ac:dyDescent="0.25">
      <c r="A94" s="1">
        <v>3</v>
      </c>
      <c r="B94" s="1">
        <v>306</v>
      </c>
      <c r="C94" s="2" t="s">
        <v>7</v>
      </c>
      <c r="D94" s="21">
        <v>1.6259999999999999</v>
      </c>
      <c r="E94" s="7">
        <v>10.131</v>
      </c>
      <c r="F94" s="23">
        <v>210.4</v>
      </c>
      <c r="G94" s="9">
        <v>21.36</v>
      </c>
      <c r="H94" s="7">
        <f t="shared" si="17"/>
        <v>19.733999999999998</v>
      </c>
      <c r="I94" s="8">
        <v>147.75</v>
      </c>
      <c r="J94" s="19">
        <f t="shared" si="18"/>
        <v>137.619</v>
      </c>
      <c r="K94" s="19">
        <v>17.559999999999999</v>
      </c>
      <c r="L94" s="8">
        <f t="shared" si="15"/>
        <v>15.933999999999999</v>
      </c>
      <c r="M94" s="7">
        <f t="shared" si="16"/>
        <v>3.7999999999999989</v>
      </c>
      <c r="N94" s="31">
        <f t="shared" si="19"/>
        <v>23.848374544998112</v>
      </c>
      <c r="O94" s="29">
        <v>45978</v>
      </c>
    </row>
    <row r="95" spans="1:15" x14ac:dyDescent="0.25">
      <c r="A95" s="1">
        <v>3</v>
      </c>
      <c r="B95" s="1">
        <v>306</v>
      </c>
      <c r="C95" s="2" t="s">
        <v>8</v>
      </c>
      <c r="D95" s="21">
        <v>1.6259999999999999</v>
      </c>
      <c r="E95" s="7">
        <v>10.131</v>
      </c>
      <c r="F95" s="23">
        <v>377.17</v>
      </c>
      <c r="G95" s="9">
        <v>21.74</v>
      </c>
      <c r="H95" s="7">
        <f t="shared" si="17"/>
        <v>20.113999999999997</v>
      </c>
      <c r="I95" s="8">
        <v>293.32</v>
      </c>
      <c r="J95" s="19">
        <f t="shared" si="18"/>
        <v>283.18899999999996</v>
      </c>
      <c r="K95" s="19">
        <v>18.37</v>
      </c>
      <c r="L95" s="8">
        <f t="shared" si="15"/>
        <v>16.744</v>
      </c>
      <c r="M95" s="7">
        <f t="shared" si="16"/>
        <v>3.3699999999999974</v>
      </c>
      <c r="N95" s="31">
        <f t="shared" si="19"/>
        <v>20.12661251791685</v>
      </c>
      <c r="O95" s="29">
        <v>45978</v>
      </c>
    </row>
    <row r="96" spans="1:15" x14ac:dyDescent="0.25">
      <c r="A96" s="1">
        <v>3</v>
      </c>
      <c r="B96" s="1">
        <v>306</v>
      </c>
      <c r="C96" s="2" t="s">
        <v>9</v>
      </c>
      <c r="D96" s="21">
        <v>1.6259999999999999</v>
      </c>
      <c r="E96" s="7">
        <v>10.131</v>
      </c>
      <c r="F96" s="23">
        <v>699.78</v>
      </c>
      <c r="G96" s="9">
        <v>21.25</v>
      </c>
      <c r="H96" s="7">
        <f t="shared" si="17"/>
        <v>19.623999999999999</v>
      </c>
      <c r="I96" s="8">
        <v>578.99</v>
      </c>
      <c r="J96" s="19">
        <f t="shared" si="18"/>
        <v>568.85900000000004</v>
      </c>
      <c r="K96" s="19">
        <v>17.989999999999998</v>
      </c>
      <c r="L96" s="8">
        <f t="shared" si="15"/>
        <v>16.363999999999997</v>
      </c>
      <c r="M96" s="7">
        <f t="shared" si="16"/>
        <v>3.2600000000000016</v>
      </c>
      <c r="N96" s="31">
        <f t="shared" si="19"/>
        <v>19.921779516010769</v>
      </c>
      <c r="O96" s="29">
        <v>45978</v>
      </c>
    </row>
    <row r="97" spans="1:15" x14ac:dyDescent="0.25">
      <c r="A97" s="1">
        <v>3</v>
      </c>
      <c r="B97" s="1">
        <v>306</v>
      </c>
      <c r="C97" s="2" t="s">
        <v>10</v>
      </c>
      <c r="D97" s="21">
        <v>1.6259999999999999</v>
      </c>
      <c r="E97" s="7">
        <v>10.131</v>
      </c>
      <c r="F97" s="23">
        <v>984.82</v>
      </c>
      <c r="G97" s="9">
        <v>21.56</v>
      </c>
      <c r="H97" s="7">
        <f t="shared" si="17"/>
        <v>19.933999999999997</v>
      </c>
      <c r="I97" s="8">
        <v>810.02</v>
      </c>
      <c r="J97" s="19">
        <f t="shared" si="18"/>
        <v>799.88900000000001</v>
      </c>
      <c r="K97" s="19">
        <v>17.97</v>
      </c>
      <c r="L97" s="8">
        <f t="shared" si="15"/>
        <v>16.343999999999998</v>
      </c>
      <c r="M97" s="7">
        <f t="shared" si="16"/>
        <v>3.59</v>
      </c>
      <c r="N97" s="31">
        <f t="shared" si="19"/>
        <v>21.965247185511505</v>
      </c>
      <c r="O97" s="29">
        <v>45978</v>
      </c>
    </row>
    <row r="98" spans="1:15" x14ac:dyDescent="0.25">
      <c r="A98" s="1">
        <v>3</v>
      </c>
      <c r="B98" s="1">
        <v>307</v>
      </c>
      <c r="C98" s="2" t="s">
        <v>7</v>
      </c>
      <c r="D98" s="21">
        <v>1.6259999999999999</v>
      </c>
      <c r="E98" s="7">
        <v>10.131</v>
      </c>
      <c r="F98" s="23">
        <v>234.8</v>
      </c>
      <c r="G98" s="9">
        <v>21.71</v>
      </c>
      <c r="H98" s="7">
        <f t="shared" si="17"/>
        <v>20.084</v>
      </c>
      <c r="I98" s="8">
        <v>163.54</v>
      </c>
      <c r="J98" s="19">
        <f t="shared" si="18"/>
        <v>153.40899999999999</v>
      </c>
      <c r="K98" s="19">
        <v>17.670000000000002</v>
      </c>
      <c r="L98" s="8">
        <f t="shared" ref="L98:L129" si="20">K98-D98</f>
        <v>16.044</v>
      </c>
      <c r="M98" s="7">
        <f t="shared" ref="M98:M129" si="21">H98-L98</f>
        <v>4.0399999999999991</v>
      </c>
      <c r="N98" s="31">
        <f t="shared" si="19"/>
        <v>25.180752929444022</v>
      </c>
      <c r="O98" s="29">
        <v>45978</v>
      </c>
    </row>
    <row r="99" spans="1:15" x14ac:dyDescent="0.25">
      <c r="A99" s="1">
        <v>3</v>
      </c>
      <c r="B99" s="1">
        <v>307</v>
      </c>
      <c r="C99" s="2" t="s">
        <v>8</v>
      </c>
      <c r="D99" s="21">
        <v>1.6259999999999999</v>
      </c>
      <c r="E99" s="7">
        <v>10.131</v>
      </c>
      <c r="F99" s="23">
        <v>387.48</v>
      </c>
      <c r="G99" s="9">
        <v>21.51</v>
      </c>
      <c r="H99" s="7">
        <f t="shared" si="17"/>
        <v>19.884</v>
      </c>
      <c r="I99" s="8">
        <v>296.68</v>
      </c>
      <c r="J99" s="19">
        <f t="shared" si="18"/>
        <v>286.54899999999998</v>
      </c>
      <c r="K99" s="19">
        <v>18.14</v>
      </c>
      <c r="L99" s="8">
        <f t="shared" si="20"/>
        <v>16.513999999999999</v>
      </c>
      <c r="M99" s="7">
        <f t="shared" si="21"/>
        <v>3.370000000000001</v>
      </c>
      <c r="N99" s="31">
        <f t="shared" si="19"/>
        <v>20.406927455492315</v>
      </c>
      <c r="O99" s="29">
        <v>45978</v>
      </c>
    </row>
    <row r="100" spans="1:15" x14ac:dyDescent="0.25">
      <c r="A100" s="1">
        <v>3</v>
      </c>
      <c r="B100" s="1">
        <v>307</v>
      </c>
      <c r="C100" s="2" t="s">
        <v>9</v>
      </c>
      <c r="D100" s="21">
        <v>1.6259999999999999</v>
      </c>
      <c r="E100" s="7">
        <v>10.131</v>
      </c>
      <c r="F100" s="23">
        <v>663.81</v>
      </c>
      <c r="G100" s="9">
        <v>21.3</v>
      </c>
      <c r="H100" s="7">
        <f t="shared" si="17"/>
        <v>19.673999999999999</v>
      </c>
      <c r="I100" s="8">
        <v>540.20000000000005</v>
      </c>
      <c r="J100" s="19">
        <f t="shared" si="18"/>
        <v>530.06900000000007</v>
      </c>
      <c r="K100" s="19">
        <v>17.97</v>
      </c>
      <c r="L100" s="8">
        <f t="shared" si="20"/>
        <v>16.343999999999998</v>
      </c>
      <c r="M100" s="7">
        <f t="shared" si="21"/>
        <v>3.3300000000000018</v>
      </c>
      <c r="N100" s="31">
        <f t="shared" si="19"/>
        <v>20.374449339207061</v>
      </c>
      <c r="O100" s="29">
        <v>45978</v>
      </c>
    </row>
    <row r="101" spans="1:15" x14ac:dyDescent="0.25">
      <c r="A101" s="1">
        <v>3</v>
      </c>
      <c r="B101" s="1">
        <v>307</v>
      </c>
      <c r="C101" s="2" t="s">
        <v>10</v>
      </c>
      <c r="D101" s="21">
        <v>1.6259999999999999</v>
      </c>
      <c r="E101" s="7">
        <v>10.131</v>
      </c>
      <c r="F101" s="23">
        <v>966.77</v>
      </c>
      <c r="G101" s="9">
        <v>21.28</v>
      </c>
      <c r="H101" s="7">
        <f t="shared" si="17"/>
        <v>19.654</v>
      </c>
      <c r="I101" s="8">
        <v>803</v>
      </c>
      <c r="J101" s="19">
        <f t="shared" si="18"/>
        <v>792.86900000000003</v>
      </c>
      <c r="K101" s="19">
        <v>17.89</v>
      </c>
      <c r="L101" s="8">
        <f t="shared" si="20"/>
        <v>16.263999999999999</v>
      </c>
      <c r="M101" s="7">
        <f t="shared" si="21"/>
        <v>3.3900000000000006</v>
      </c>
      <c r="N101" s="31">
        <f t="shared" si="19"/>
        <v>20.843580914904088</v>
      </c>
      <c r="O101" s="29">
        <v>45978</v>
      </c>
    </row>
    <row r="102" spans="1:15" x14ac:dyDescent="0.25">
      <c r="A102" s="1">
        <v>3</v>
      </c>
      <c r="B102" s="1">
        <v>308</v>
      </c>
      <c r="C102" s="2" t="s">
        <v>7</v>
      </c>
      <c r="D102" s="21">
        <v>1.6259999999999999</v>
      </c>
      <c r="E102" s="7">
        <v>10.131</v>
      </c>
      <c r="F102" s="23">
        <v>196.16</v>
      </c>
      <c r="G102" s="9">
        <v>21.42</v>
      </c>
      <c r="H102" s="7">
        <f t="shared" si="17"/>
        <v>19.794</v>
      </c>
      <c r="I102" s="8">
        <v>136.12</v>
      </c>
      <c r="J102" s="19">
        <f t="shared" si="18"/>
        <v>125.989</v>
      </c>
      <c r="K102" s="19">
        <v>18.03</v>
      </c>
      <c r="L102" s="8">
        <f t="shared" si="20"/>
        <v>16.404</v>
      </c>
      <c r="M102" s="7">
        <f t="shared" si="21"/>
        <v>3.3900000000000006</v>
      </c>
      <c r="N102" s="31">
        <f t="shared" si="19"/>
        <v>20.665691294806148</v>
      </c>
      <c r="O102" s="29">
        <v>45978</v>
      </c>
    </row>
    <row r="103" spans="1:15" x14ac:dyDescent="0.25">
      <c r="A103" s="1">
        <v>3</v>
      </c>
      <c r="B103" s="1">
        <v>308</v>
      </c>
      <c r="C103" s="2" t="s">
        <v>8</v>
      </c>
      <c r="D103" s="21">
        <v>1.6259999999999999</v>
      </c>
      <c r="E103" s="7">
        <v>10.131</v>
      </c>
      <c r="F103" s="23">
        <v>396.04</v>
      </c>
      <c r="G103" s="9">
        <v>21.75</v>
      </c>
      <c r="H103" s="7">
        <f t="shared" si="17"/>
        <v>20.123999999999999</v>
      </c>
      <c r="I103" s="8">
        <v>312.75</v>
      </c>
      <c r="J103" s="19">
        <f t="shared" si="18"/>
        <v>302.61900000000003</v>
      </c>
      <c r="K103" s="19">
        <v>18.510000000000002</v>
      </c>
      <c r="L103" s="8">
        <f t="shared" si="20"/>
        <v>16.884</v>
      </c>
      <c r="M103" s="7">
        <f t="shared" si="21"/>
        <v>3.2399999999999984</v>
      </c>
      <c r="N103" s="31">
        <f t="shared" si="19"/>
        <v>19.189765458422166</v>
      </c>
      <c r="O103" s="29">
        <v>45978</v>
      </c>
    </row>
    <row r="104" spans="1:15" x14ac:dyDescent="0.25">
      <c r="A104" s="1">
        <v>3</v>
      </c>
      <c r="B104" s="1">
        <v>308</v>
      </c>
      <c r="C104" s="2" t="s">
        <v>9</v>
      </c>
      <c r="D104" s="21">
        <v>1.6259999999999999</v>
      </c>
      <c r="E104" s="7">
        <v>10.131</v>
      </c>
      <c r="F104" s="23">
        <v>686.18</v>
      </c>
      <c r="G104" s="9">
        <v>21.92</v>
      </c>
      <c r="H104" s="7">
        <f t="shared" si="17"/>
        <v>20.294</v>
      </c>
      <c r="I104" s="8">
        <v>526.76</v>
      </c>
      <c r="J104" s="19">
        <f t="shared" si="18"/>
        <v>516.62900000000002</v>
      </c>
      <c r="K104" s="19">
        <v>18.64</v>
      </c>
      <c r="L104" s="8">
        <f t="shared" si="20"/>
        <v>17.013999999999999</v>
      </c>
      <c r="M104" s="7">
        <f t="shared" si="21"/>
        <v>3.2800000000000011</v>
      </c>
      <c r="N104" s="31">
        <f t="shared" si="19"/>
        <v>19.27824144821912</v>
      </c>
      <c r="O104" s="29">
        <v>45978</v>
      </c>
    </row>
    <row r="105" spans="1:15" x14ac:dyDescent="0.25">
      <c r="A105" s="1">
        <v>3</v>
      </c>
      <c r="B105" s="1">
        <v>308</v>
      </c>
      <c r="C105" s="2" t="s">
        <v>10</v>
      </c>
      <c r="D105" s="21">
        <v>1.6259999999999999</v>
      </c>
      <c r="E105" s="7">
        <v>10.131</v>
      </c>
      <c r="F105" s="23">
        <v>969.51</v>
      </c>
      <c r="G105" s="9">
        <v>21.48</v>
      </c>
      <c r="H105" s="7">
        <f t="shared" si="17"/>
        <v>19.853999999999999</v>
      </c>
      <c r="I105" s="8">
        <v>805.28</v>
      </c>
      <c r="J105" s="19">
        <f t="shared" si="18"/>
        <v>795.149</v>
      </c>
      <c r="K105" s="19">
        <v>18.09</v>
      </c>
      <c r="L105" s="8">
        <f t="shared" si="20"/>
        <v>16.463999999999999</v>
      </c>
      <c r="M105" s="7">
        <f t="shared" si="21"/>
        <v>3.3900000000000006</v>
      </c>
      <c r="N105" s="31">
        <f t="shared" si="19"/>
        <v>20.590379008746361</v>
      </c>
      <c r="O105" s="29">
        <v>45978</v>
      </c>
    </row>
    <row r="106" spans="1:15" x14ac:dyDescent="0.25">
      <c r="A106" s="1">
        <v>3</v>
      </c>
      <c r="B106" s="1">
        <v>309</v>
      </c>
      <c r="C106" s="2" t="s">
        <v>7</v>
      </c>
      <c r="D106" s="21">
        <v>1.6259999999999999</v>
      </c>
      <c r="E106" s="7">
        <v>10.131</v>
      </c>
      <c r="F106" s="23">
        <v>221.94</v>
      </c>
      <c r="G106" s="9">
        <v>21.52</v>
      </c>
      <c r="H106" s="7">
        <f t="shared" si="17"/>
        <v>19.893999999999998</v>
      </c>
      <c r="I106" s="8">
        <v>154</v>
      </c>
      <c r="J106" s="19">
        <f t="shared" si="18"/>
        <v>143.869</v>
      </c>
      <c r="K106" s="19">
        <v>18.22</v>
      </c>
      <c r="L106" s="8">
        <f t="shared" si="20"/>
        <v>16.593999999999998</v>
      </c>
      <c r="M106" s="7">
        <f t="shared" si="21"/>
        <v>3.3000000000000007</v>
      </c>
      <c r="N106" s="31">
        <f t="shared" si="19"/>
        <v>19.886706038327112</v>
      </c>
      <c r="O106" s="29">
        <v>45978</v>
      </c>
    </row>
    <row r="107" spans="1:15" x14ac:dyDescent="0.25">
      <c r="A107" s="1">
        <v>3</v>
      </c>
      <c r="B107" s="1">
        <v>309</v>
      </c>
      <c r="C107" s="2" t="s">
        <v>8</v>
      </c>
      <c r="D107" s="21">
        <v>1.6259999999999999</v>
      </c>
      <c r="E107" s="7">
        <v>10.131</v>
      </c>
      <c r="F107" s="23">
        <v>458.12</v>
      </c>
      <c r="G107" s="9">
        <v>21.93</v>
      </c>
      <c r="H107" s="7">
        <f t="shared" si="17"/>
        <v>20.303999999999998</v>
      </c>
      <c r="I107" s="8">
        <v>358.23</v>
      </c>
      <c r="J107" s="19">
        <f t="shared" si="18"/>
        <v>348.09900000000005</v>
      </c>
      <c r="K107" s="19">
        <v>18.29</v>
      </c>
      <c r="L107" s="8">
        <f t="shared" si="20"/>
        <v>16.663999999999998</v>
      </c>
      <c r="M107" s="7">
        <f t="shared" si="21"/>
        <v>3.6400000000000006</v>
      </c>
      <c r="N107" s="31">
        <f t="shared" si="19"/>
        <v>21.843494959193478</v>
      </c>
      <c r="O107" s="29">
        <v>45978</v>
      </c>
    </row>
    <row r="108" spans="1:15" x14ac:dyDescent="0.25">
      <c r="A108" s="1">
        <v>3</v>
      </c>
      <c r="B108" s="1">
        <v>309</v>
      </c>
      <c r="C108" s="2" t="s">
        <v>9</v>
      </c>
      <c r="D108" s="21">
        <v>1.6259999999999999</v>
      </c>
      <c r="E108" s="7">
        <v>10.131</v>
      </c>
      <c r="F108" s="23">
        <v>680</v>
      </c>
      <c r="G108" s="12">
        <v>21.74</v>
      </c>
      <c r="H108" s="7">
        <f t="shared" si="17"/>
        <v>20.113999999999997</v>
      </c>
      <c r="I108" s="8">
        <v>551.4</v>
      </c>
      <c r="J108" s="19">
        <f t="shared" si="18"/>
        <v>541.26900000000001</v>
      </c>
      <c r="K108" s="19">
        <v>18.2</v>
      </c>
      <c r="L108" s="8">
        <f t="shared" si="20"/>
        <v>16.573999999999998</v>
      </c>
      <c r="M108" s="7">
        <f t="shared" si="21"/>
        <v>3.5399999999999991</v>
      </c>
      <c r="N108" s="31">
        <f t="shared" si="19"/>
        <v>21.358754675998547</v>
      </c>
      <c r="O108" s="29">
        <v>45978</v>
      </c>
    </row>
    <row r="109" spans="1:15" x14ac:dyDescent="0.25">
      <c r="A109" s="1">
        <v>3</v>
      </c>
      <c r="B109" s="1">
        <v>309</v>
      </c>
      <c r="C109" s="2" t="s">
        <v>10</v>
      </c>
      <c r="D109" s="21">
        <v>1.6259999999999999</v>
      </c>
      <c r="E109" s="7">
        <v>10.131</v>
      </c>
      <c r="F109" s="22">
        <v>948.68</v>
      </c>
      <c r="G109" s="7">
        <v>21.58</v>
      </c>
      <c r="H109" s="7">
        <f t="shared" si="17"/>
        <v>19.953999999999997</v>
      </c>
      <c r="I109" s="13">
        <v>778.78</v>
      </c>
      <c r="J109" s="19">
        <f t="shared" si="18"/>
        <v>768.649</v>
      </c>
      <c r="K109" s="19">
        <v>17.93</v>
      </c>
      <c r="L109" s="8">
        <f t="shared" si="20"/>
        <v>16.303999999999998</v>
      </c>
      <c r="M109" s="7">
        <f t="shared" si="21"/>
        <v>3.6499999999999986</v>
      </c>
      <c r="N109" s="31">
        <f t="shared" si="19"/>
        <v>22.38714425907752</v>
      </c>
      <c r="O109" s="29">
        <v>45978</v>
      </c>
    </row>
    <row r="110" spans="1:15" x14ac:dyDescent="0.25">
      <c r="A110" s="1">
        <v>4</v>
      </c>
      <c r="B110" s="1">
        <v>401</v>
      </c>
      <c r="C110" s="2" t="s">
        <v>7</v>
      </c>
      <c r="D110" s="21">
        <v>1.6259999999999999</v>
      </c>
      <c r="E110" s="7">
        <v>10.131</v>
      </c>
      <c r="F110" s="23">
        <v>279.35000000000002</v>
      </c>
      <c r="G110" s="9">
        <v>21.65</v>
      </c>
      <c r="H110" s="7">
        <f t="shared" si="17"/>
        <v>20.023999999999997</v>
      </c>
      <c r="I110" s="8">
        <v>208.59</v>
      </c>
      <c r="J110" s="19">
        <f t="shared" si="18"/>
        <v>198.459</v>
      </c>
      <c r="K110" s="19">
        <v>18.32</v>
      </c>
      <c r="L110" s="8">
        <f t="shared" si="20"/>
        <v>16.693999999999999</v>
      </c>
      <c r="M110" s="7">
        <f t="shared" si="21"/>
        <v>3.3299999999999983</v>
      </c>
      <c r="N110" s="31">
        <f t="shared" si="19"/>
        <v>19.947286450221625</v>
      </c>
      <c r="O110" s="29">
        <v>45978</v>
      </c>
    </row>
    <row r="111" spans="1:15" x14ac:dyDescent="0.25">
      <c r="A111" s="1">
        <v>4</v>
      </c>
      <c r="B111" s="1">
        <v>401</v>
      </c>
      <c r="C111" s="2" t="s">
        <v>8</v>
      </c>
      <c r="D111" s="21">
        <v>1.6259999999999999</v>
      </c>
      <c r="E111" s="7">
        <v>10.131</v>
      </c>
      <c r="F111" s="23">
        <v>315.39999999999998</v>
      </c>
      <c r="G111" s="9">
        <v>21.63</v>
      </c>
      <c r="H111" s="7">
        <f t="shared" si="17"/>
        <v>20.003999999999998</v>
      </c>
      <c r="I111" s="8">
        <v>243.82</v>
      </c>
      <c r="J111" s="19">
        <f t="shared" si="18"/>
        <v>233.68899999999999</v>
      </c>
      <c r="K111" s="19">
        <v>18.53</v>
      </c>
      <c r="L111" s="8">
        <f t="shared" si="20"/>
        <v>16.904</v>
      </c>
      <c r="M111" s="7">
        <f t="shared" si="21"/>
        <v>3.0999999999999979</v>
      </c>
      <c r="N111" s="31">
        <f t="shared" si="19"/>
        <v>18.338854708944616</v>
      </c>
      <c r="O111" s="29">
        <v>45978</v>
      </c>
    </row>
    <row r="112" spans="1:15" x14ac:dyDescent="0.25">
      <c r="A112" s="1">
        <v>4</v>
      </c>
      <c r="B112" s="1">
        <v>401</v>
      </c>
      <c r="C112" s="2" t="s">
        <v>9</v>
      </c>
      <c r="D112" s="21">
        <v>1.6259999999999999</v>
      </c>
      <c r="E112" s="7">
        <v>10.131</v>
      </c>
      <c r="F112" s="23">
        <v>800.84</v>
      </c>
      <c r="G112" s="9">
        <v>21.65</v>
      </c>
      <c r="H112" s="7">
        <f t="shared" si="17"/>
        <v>20.023999999999997</v>
      </c>
      <c r="I112" s="8">
        <v>661.43</v>
      </c>
      <c r="J112" s="19">
        <f t="shared" si="18"/>
        <v>651.29899999999998</v>
      </c>
      <c r="K112" s="19">
        <v>18.36</v>
      </c>
      <c r="L112" s="8">
        <f t="shared" si="20"/>
        <v>16.733999999999998</v>
      </c>
      <c r="M112" s="7">
        <f t="shared" si="21"/>
        <v>3.2899999999999991</v>
      </c>
      <c r="N112" s="31">
        <f t="shared" si="19"/>
        <v>19.660571291980396</v>
      </c>
      <c r="O112" s="29">
        <v>45978</v>
      </c>
    </row>
    <row r="113" spans="1:15" x14ac:dyDescent="0.25">
      <c r="A113" s="1">
        <v>4</v>
      </c>
      <c r="B113" s="1">
        <v>401</v>
      </c>
      <c r="C113" s="2" t="s">
        <v>10</v>
      </c>
      <c r="D113" s="21">
        <v>1.6259999999999999</v>
      </c>
      <c r="E113" s="7">
        <v>10.131</v>
      </c>
      <c r="F113" s="23">
        <v>1051.04</v>
      </c>
      <c r="G113" s="9">
        <v>21.35</v>
      </c>
      <c r="H113" s="7">
        <f t="shared" si="17"/>
        <v>19.724</v>
      </c>
      <c r="I113" s="8">
        <v>874.9</v>
      </c>
      <c r="J113" s="19">
        <f t="shared" si="18"/>
        <v>864.76900000000001</v>
      </c>
      <c r="K113" s="19">
        <v>17.96</v>
      </c>
      <c r="L113" s="8">
        <f t="shared" si="20"/>
        <v>16.334</v>
      </c>
      <c r="M113" s="7">
        <f t="shared" si="21"/>
        <v>3.3900000000000006</v>
      </c>
      <c r="N113" s="31">
        <f t="shared" si="19"/>
        <v>20.754254928370276</v>
      </c>
      <c r="O113" s="29">
        <v>45978</v>
      </c>
    </row>
    <row r="114" spans="1:15" x14ac:dyDescent="0.25">
      <c r="A114" s="1">
        <v>4</v>
      </c>
      <c r="B114" s="1">
        <v>402</v>
      </c>
      <c r="C114" s="2" t="s">
        <v>7</v>
      </c>
      <c r="D114" s="21">
        <v>1.6259999999999999</v>
      </c>
      <c r="E114" s="7">
        <v>10.131</v>
      </c>
      <c r="F114" s="23">
        <v>240.44</v>
      </c>
      <c r="G114" s="9">
        <v>21.63</v>
      </c>
      <c r="H114" s="7">
        <f t="shared" si="17"/>
        <v>20.003999999999998</v>
      </c>
      <c r="I114" s="8">
        <v>175.15</v>
      </c>
      <c r="J114" s="19">
        <f t="shared" si="18"/>
        <v>165.01900000000001</v>
      </c>
      <c r="K114" s="19">
        <v>18.2</v>
      </c>
      <c r="L114" s="8">
        <f t="shared" si="20"/>
        <v>16.573999999999998</v>
      </c>
      <c r="M114" s="7">
        <f t="shared" si="21"/>
        <v>3.4299999999999997</v>
      </c>
      <c r="N114" s="31">
        <f t="shared" si="19"/>
        <v>20.695064558947752</v>
      </c>
      <c r="O114" s="29">
        <v>45978</v>
      </c>
    </row>
    <row r="115" spans="1:15" x14ac:dyDescent="0.25">
      <c r="A115" s="1">
        <v>4</v>
      </c>
      <c r="B115" s="1">
        <v>402</v>
      </c>
      <c r="C115" s="2" t="s">
        <v>8</v>
      </c>
      <c r="D115" s="21">
        <v>1.6259999999999999</v>
      </c>
      <c r="E115" s="7">
        <v>10.131</v>
      </c>
      <c r="F115" s="23">
        <v>447.79</v>
      </c>
      <c r="G115" s="9">
        <v>21.85</v>
      </c>
      <c r="H115" s="7">
        <f t="shared" si="17"/>
        <v>20.224</v>
      </c>
      <c r="I115" s="8">
        <v>355.48</v>
      </c>
      <c r="J115" s="19">
        <f t="shared" si="18"/>
        <v>345.34900000000005</v>
      </c>
      <c r="K115" s="19">
        <v>18.32</v>
      </c>
      <c r="L115" s="8">
        <f t="shared" si="20"/>
        <v>16.693999999999999</v>
      </c>
      <c r="M115" s="7">
        <f t="shared" si="21"/>
        <v>3.5300000000000011</v>
      </c>
      <c r="N115" s="31">
        <f t="shared" si="19"/>
        <v>21.145321672457179</v>
      </c>
      <c r="O115" s="29">
        <v>45978</v>
      </c>
    </row>
    <row r="116" spans="1:15" x14ac:dyDescent="0.25">
      <c r="A116" s="1">
        <v>4</v>
      </c>
      <c r="B116" s="1">
        <v>402</v>
      </c>
      <c r="C116" s="2" t="s">
        <v>9</v>
      </c>
      <c r="D116" s="21">
        <v>1.6259999999999999</v>
      </c>
      <c r="E116" s="7">
        <v>10.131</v>
      </c>
      <c r="F116" s="23">
        <v>670.82</v>
      </c>
      <c r="G116" s="9">
        <v>21.93</v>
      </c>
      <c r="H116" s="7">
        <f t="shared" si="17"/>
        <v>20.303999999999998</v>
      </c>
      <c r="I116" s="8">
        <v>552.20000000000005</v>
      </c>
      <c r="J116" s="19">
        <f t="shared" si="18"/>
        <v>542.06900000000007</v>
      </c>
      <c r="K116" s="19">
        <v>18.68</v>
      </c>
      <c r="L116" s="8">
        <f t="shared" si="20"/>
        <v>17.053999999999998</v>
      </c>
      <c r="M116" s="7">
        <f t="shared" si="21"/>
        <v>3.25</v>
      </c>
      <c r="N116" s="31">
        <f t="shared" si="19"/>
        <v>19.057112700832651</v>
      </c>
      <c r="O116" s="29">
        <v>45978</v>
      </c>
    </row>
    <row r="117" spans="1:15" x14ac:dyDescent="0.25">
      <c r="A117" s="1">
        <v>4</v>
      </c>
      <c r="B117" s="1">
        <v>402</v>
      </c>
      <c r="C117" s="2" t="s">
        <v>10</v>
      </c>
      <c r="D117" s="21">
        <v>1.6259999999999999</v>
      </c>
      <c r="E117" s="7">
        <v>10.131</v>
      </c>
      <c r="F117" s="23">
        <v>1007.56</v>
      </c>
      <c r="G117" s="9">
        <v>21.78</v>
      </c>
      <c r="H117" s="7">
        <f t="shared" si="17"/>
        <v>20.154</v>
      </c>
      <c r="I117" s="8">
        <v>842.96</v>
      </c>
      <c r="J117" s="19">
        <f t="shared" si="18"/>
        <v>832.82900000000006</v>
      </c>
      <c r="K117" s="19">
        <v>18.46</v>
      </c>
      <c r="L117" s="8">
        <f t="shared" si="20"/>
        <v>16.834</v>
      </c>
      <c r="M117" s="7">
        <f t="shared" si="21"/>
        <v>3.3200000000000003</v>
      </c>
      <c r="N117" s="31">
        <f t="shared" si="19"/>
        <v>19.721991208268982</v>
      </c>
      <c r="O117" s="29">
        <v>45978</v>
      </c>
    </row>
    <row r="118" spans="1:15" x14ac:dyDescent="0.25">
      <c r="A118" s="1">
        <v>4</v>
      </c>
      <c r="B118" s="1">
        <v>403</v>
      </c>
      <c r="C118" s="2" t="s">
        <v>7</v>
      </c>
      <c r="D118" s="21">
        <v>1.6259999999999999</v>
      </c>
      <c r="E118" s="7">
        <v>10.131</v>
      </c>
      <c r="F118" s="23">
        <v>30.92</v>
      </c>
      <c r="G118" s="9">
        <v>21.37</v>
      </c>
      <c r="H118" s="7">
        <f t="shared" si="17"/>
        <v>19.744</v>
      </c>
      <c r="I118" s="8">
        <v>220.72</v>
      </c>
      <c r="J118" s="19">
        <f t="shared" si="18"/>
        <v>210.589</v>
      </c>
      <c r="K118" s="19">
        <v>17.739999999999998</v>
      </c>
      <c r="L118" s="8">
        <f t="shared" si="20"/>
        <v>16.113999999999997</v>
      </c>
      <c r="M118" s="7">
        <f t="shared" si="21"/>
        <v>3.6300000000000026</v>
      </c>
      <c r="N118" s="31">
        <f t="shared" si="19"/>
        <v>22.526995159488663</v>
      </c>
      <c r="O118" s="29">
        <v>45978</v>
      </c>
    </row>
    <row r="119" spans="1:15" x14ac:dyDescent="0.25">
      <c r="A119" s="1">
        <v>4</v>
      </c>
      <c r="B119" s="1">
        <v>403</v>
      </c>
      <c r="C119" s="2" t="s">
        <v>8</v>
      </c>
      <c r="D119" s="21">
        <v>1.6259999999999999</v>
      </c>
      <c r="E119" s="7">
        <v>10.131</v>
      </c>
      <c r="F119" s="23">
        <v>431.63</v>
      </c>
      <c r="G119" s="9">
        <v>21.73</v>
      </c>
      <c r="H119" s="7">
        <f t="shared" si="17"/>
        <v>20.103999999999999</v>
      </c>
      <c r="I119" s="8">
        <v>336.59</v>
      </c>
      <c r="J119" s="19">
        <f t="shared" si="18"/>
        <v>326.45899999999995</v>
      </c>
      <c r="K119" s="19">
        <v>18.37</v>
      </c>
      <c r="L119" s="8">
        <f t="shared" si="20"/>
        <v>16.744</v>
      </c>
      <c r="M119" s="7">
        <f t="shared" si="21"/>
        <v>3.3599999999999994</v>
      </c>
      <c r="N119" s="31">
        <f t="shared" si="19"/>
        <v>20.066889632107021</v>
      </c>
      <c r="O119" s="29">
        <v>45978</v>
      </c>
    </row>
    <row r="120" spans="1:15" x14ac:dyDescent="0.25">
      <c r="A120" s="1">
        <v>4</v>
      </c>
      <c r="B120" s="1">
        <v>403</v>
      </c>
      <c r="C120" s="2" t="s">
        <v>9</v>
      </c>
      <c r="D120" s="21">
        <v>1.6259999999999999</v>
      </c>
      <c r="E120" s="7">
        <v>10.131</v>
      </c>
      <c r="F120" s="23">
        <v>723.55</v>
      </c>
      <c r="G120" s="9">
        <v>21.6</v>
      </c>
      <c r="H120" s="7">
        <f t="shared" si="17"/>
        <v>19.974</v>
      </c>
      <c r="I120" s="8">
        <v>596.76</v>
      </c>
      <c r="J120" s="19">
        <f t="shared" si="18"/>
        <v>586.62900000000002</v>
      </c>
      <c r="K120" s="19">
        <v>18.39</v>
      </c>
      <c r="L120" s="8">
        <f t="shared" si="20"/>
        <v>16.763999999999999</v>
      </c>
      <c r="M120" s="7">
        <f t="shared" si="21"/>
        <v>3.2100000000000009</v>
      </c>
      <c r="N120" s="31">
        <f t="shared" si="19"/>
        <v>19.148174659985688</v>
      </c>
      <c r="O120" s="29">
        <v>45978</v>
      </c>
    </row>
    <row r="121" spans="1:15" x14ac:dyDescent="0.25">
      <c r="A121" s="1">
        <v>4</v>
      </c>
      <c r="B121" s="1">
        <v>403</v>
      </c>
      <c r="C121" s="2" t="s">
        <v>10</v>
      </c>
      <c r="D121" s="21">
        <v>1.6259999999999999</v>
      </c>
      <c r="E121" s="7">
        <v>10.131</v>
      </c>
      <c r="F121" s="23">
        <v>1011.64</v>
      </c>
      <c r="G121" s="9">
        <v>21.94</v>
      </c>
      <c r="H121" s="7">
        <f t="shared" si="17"/>
        <v>20.314</v>
      </c>
      <c r="I121" s="8">
        <v>842.9</v>
      </c>
      <c r="J121" s="19">
        <f t="shared" si="18"/>
        <v>832.76900000000001</v>
      </c>
      <c r="K121" s="19">
        <v>18.55</v>
      </c>
      <c r="L121" s="8">
        <f t="shared" si="20"/>
        <v>16.923999999999999</v>
      </c>
      <c r="M121" s="7">
        <f t="shared" si="21"/>
        <v>3.3900000000000006</v>
      </c>
      <c r="N121" s="31">
        <f t="shared" si="19"/>
        <v>20.030725596785633</v>
      </c>
      <c r="O121" s="29">
        <v>45978</v>
      </c>
    </row>
    <row r="122" spans="1:15" x14ac:dyDescent="0.25">
      <c r="A122" s="1">
        <v>4</v>
      </c>
      <c r="B122" s="1">
        <v>404</v>
      </c>
      <c r="C122" s="2" t="s">
        <v>7</v>
      </c>
      <c r="D122" s="21">
        <v>1.6259999999999999</v>
      </c>
      <c r="E122" s="7">
        <v>10.131</v>
      </c>
      <c r="F122" s="23">
        <v>295.02</v>
      </c>
      <c r="G122" s="9">
        <v>21.61</v>
      </c>
      <c r="H122" s="7">
        <f t="shared" si="17"/>
        <v>19.983999999999998</v>
      </c>
      <c r="I122" s="8">
        <v>216.49</v>
      </c>
      <c r="J122" s="19">
        <f t="shared" si="18"/>
        <v>206.35900000000001</v>
      </c>
      <c r="K122" s="19">
        <v>18.23</v>
      </c>
      <c r="L122" s="8">
        <f t="shared" si="20"/>
        <v>16.603999999999999</v>
      </c>
      <c r="M122" s="7">
        <f t="shared" si="21"/>
        <v>3.379999999999999</v>
      </c>
      <c r="N122" s="31">
        <f t="shared" si="19"/>
        <v>20.356540592628278</v>
      </c>
      <c r="O122" s="29">
        <v>45978</v>
      </c>
    </row>
    <row r="123" spans="1:15" x14ac:dyDescent="0.25">
      <c r="A123" s="1">
        <v>4</v>
      </c>
      <c r="B123" s="1">
        <v>404</v>
      </c>
      <c r="C123" s="2" t="s">
        <v>8</v>
      </c>
      <c r="D123" s="21">
        <v>1.6259999999999999</v>
      </c>
      <c r="E123" s="7">
        <v>10.131</v>
      </c>
      <c r="F123" s="23">
        <v>377.93</v>
      </c>
      <c r="G123" s="9">
        <v>21.63</v>
      </c>
      <c r="H123" s="7">
        <f t="shared" si="17"/>
        <v>20.003999999999998</v>
      </c>
      <c r="I123" s="8">
        <v>289.63</v>
      </c>
      <c r="J123" s="19">
        <f t="shared" si="18"/>
        <v>279.49900000000002</v>
      </c>
      <c r="K123" s="19">
        <v>18.2</v>
      </c>
      <c r="L123" s="8">
        <f t="shared" si="20"/>
        <v>16.573999999999998</v>
      </c>
      <c r="M123" s="7">
        <f t="shared" si="21"/>
        <v>3.4299999999999997</v>
      </c>
      <c r="N123" s="31">
        <f t="shared" si="19"/>
        <v>20.695064558947752</v>
      </c>
      <c r="O123" s="29">
        <v>45978</v>
      </c>
    </row>
    <row r="124" spans="1:15" x14ac:dyDescent="0.25">
      <c r="A124" s="1">
        <v>4</v>
      </c>
      <c r="B124" s="1">
        <v>404</v>
      </c>
      <c r="C124" s="2" t="s">
        <v>9</v>
      </c>
      <c r="D124" s="21">
        <v>1.6259999999999999</v>
      </c>
      <c r="E124" s="7">
        <v>10.131</v>
      </c>
      <c r="F124" s="23">
        <v>664.82</v>
      </c>
      <c r="G124" s="9">
        <v>21.82</v>
      </c>
      <c r="H124" s="7">
        <f t="shared" si="17"/>
        <v>20.193999999999999</v>
      </c>
      <c r="I124" s="8">
        <v>536.65</v>
      </c>
      <c r="J124" s="19">
        <f t="shared" si="18"/>
        <v>526.51900000000001</v>
      </c>
      <c r="K124" s="19">
        <v>18.32</v>
      </c>
      <c r="L124" s="8">
        <f t="shared" si="20"/>
        <v>16.693999999999999</v>
      </c>
      <c r="M124" s="7">
        <f t="shared" si="21"/>
        <v>3.5</v>
      </c>
      <c r="N124" s="31">
        <f t="shared" si="19"/>
        <v>20.965616389121841</v>
      </c>
      <c r="O124" s="29">
        <v>45978</v>
      </c>
    </row>
    <row r="125" spans="1:15" x14ac:dyDescent="0.25">
      <c r="A125" s="1">
        <v>4</v>
      </c>
      <c r="B125" s="1">
        <v>404</v>
      </c>
      <c r="C125" s="2" t="s">
        <v>10</v>
      </c>
      <c r="D125" s="21">
        <v>1.6259999999999999</v>
      </c>
      <c r="E125" s="7">
        <v>10.131</v>
      </c>
      <c r="F125" s="23">
        <v>1043.2</v>
      </c>
      <c r="G125" s="9">
        <v>21.36</v>
      </c>
      <c r="H125" s="7">
        <f t="shared" si="17"/>
        <v>19.733999999999998</v>
      </c>
      <c r="I125" s="8">
        <v>866.83</v>
      </c>
      <c r="J125" s="19">
        <f t="shared" si="18"/>
        <v>856.69900000000007</v>
      </c>
      <c r="K125" s="19">
        <v>17.93</v>
      </c>
      <c r="L125" s="8">
        <f t="shared" si="20"/>
        <v>16.303999999999998</v>
      </c>
      <c r="M125" s="7">
        <f t="shared" si="21"/>
        <v>3.4299999999999997</v>
      </c>
      <c r="N125" s="31">
        <f t="shared" si="19"/>
        <v>21.037782139352306</v>
      </c>
      <c r="O125" s="29">
        <v>45978</v>
      </c>
    </row>
    <row r="126" spans="1:15" x14ac:dyDescent="0.25">
      <c r="A126" s="1">
        <v>4</v>
      </c>
      <c r="B126" s="1">
        <v>405</v>
      </c>
      <c r="C126" s="2" t="s">
        <v>7</v>
      </c>
      <c r="D126" s="21">
        <v>1.6259999999999999</v>
      </c>
      <c r="E126" s="7">
        <v>10.131</v>
      </c>
      <c r="F126" s="23">
        <v>285.02999999999997</v>
      </c>
      <c r="G126" s="9">
        <v>21.82</v>
      </c>
      <c r="H126" s="7">
        <f t="shared" si="17"/>
        <v>20.193999999999999</v>
      </c>
      <c r="I126" s="8">
        <v>209.43</v>
      </c>
      <c r="J126" s="19">
        <f t="shared" si="18"/>
        <v>199.29900000000001</v>
      </c>
      <c r="K126" s="19">
        <v>18.54</v>
      </c>
      <c r="L126" s="8">
        <f t="shared" si="20"/>
        <v>16.913999999999998</v>
      </c>
      <c r="M126" s="7">
        <f t="shared" si="21"/>
        <v>3.2800000000000011</v>
      </c>
      <c r="N126" s="31">
        <f t="shared" si="19"/>
        <v>19.392219463166615</v>
      </c>
      <c r="O126" s="29">
        <v>45978</v>
      </c>
    </row>
    <row r="127" spans="1:15" x14ac:dyDescent="0.25">
      <c r="A127" s="1">
        <v>4</v>
      </c>
      <c r="B127" s="1">
        <v>405</v>
      </c>
      <c r="C127" s="2" t="s">
        <v>8</v>
      </c>
      <c r="D127" s="21">
        <v>1.6259999999999999</v>
      </c>
      <c r="E127" s="7">
        <v>10.131</v>
      </c>
      <c r="F127" s="23">
        <v>366.33</v>
      </c>
      <c r="G127" s="9">
        <v>21.48</v>
      </c>
      <c r="H127" s="7">
        <f t="shared" si="17"/>
        <v>19.853999999999999</v>
      </c>
      <c r="I127" s="8">
        <v>283.3</v>
      </c>
      <c r="J127" s="19">
        <f t="shared" si="18"/>
        <v>273.16899999999998</v>
      </c>
      <c r="K127" s="19">
        <v>18.27</v>
      </c>
      <c r="L127" s="8">
        <f t="shared" si="20"/>
        <v>16.643999999999998</v>
      </c>
      <c r="M127" s="7">
        <f t="shared" si="21"/>
        <v>3.2100000000000009</v>
      </c>
      <c r="N127" s="31">
        <f t="shared" si="19"/>
        <v>19.286229271809667</v>
      </c>
      <c r="O127" s="29">
        <v>45978</v>
      </c>
    </row>
    <row r="128" spans="1:15" x14ac:dyDescent="0.25">
      <c r="A128" s="1">
        <v>4</v>
      </c>
      <c r="B128" s="1">
        <v>405</v>
      </c>
      <c r="C128" s="2" t="s">
        <v>9</v>
      </c>
      <c r="D128" s="21">
        <v>1.6259999999999999</v>
      </c>
      <c r="E128" s="7">
        <v>10.131</v>
      </c>
      <c r="F128" s="23">
        <v>489.71</v>
      </c>
      <c r="G128" s="9">
        <v>21.61</v>
      </c>
      <c r="H128" s="7">
        <f t="shared" si="17"/>
        <v>19.983999999999998</v>
      </c>
      <c r="I128" s="8">
        <v>391.19</v>
      </c>
      <c r="J128" s="19">
        <f t="shared" si="18"/>
        <v>381.05899999999997</v>
      </c>
      <c r="K128" s="19">
        <v>18.41</v>
      </c>
      <c r="L128" s="8">
        <f t="shared" si="20"/>
        <v>16.783999999999999</v>
      </c>
      <c r="M128" s="7">
        <f t="shared" si="21"/>
        <v>3.1999999999999993</v>
      </c>
      <c r="N128" s="31">
        <f t="shared" si="19"/>
        <v>19.065776930409911</v>
      </c>
      <c r="O128" s="29">
        <v>45978</v>
      </c>
    </row>
    <row r="129" spans="1:15" x14ac:dyDescent="0.25">
      <c r="A129" s="1">
        <v>4</v>
      </c>
      <c r="B129" s="1">
        <v>405</v>
      </c>
      <c r="C129" s="2" t="s">
        <v>10</v>
      </c>
      <c r="D129" s="21">
        <v>1.6259999999999999</v>
      </c>
      <c r="E129" s="7">
        <v>10.131</v>
      </c>
      <c r="F129" s="23">
        <v>1137.52</v>
      </c>
      <c r="G129" s="9">
        <v>21.9</v>
      </c>
      <c r="H129" s="7">
        <f t="shared" si="17"/>
        <v>20.273999999999997</v>
      </c>
      <c r="I129" s="8">
        <v>948.12</v>
      </c>
      <c r="J129" s="19">
        <f t="shared" si="18"/>
        <v>937.98900000000003</v>
      </c>
      <c r="K129" s="19">
        <v>18.47</v>
      </c>
      <c r="L129" s="8">
        <f t="shared" si="20"/>
        <v>16.843999999999998</v>
      </c>
      <c r="M129" s="7">
        <f t="shared" si="21"/>
        <v>3.4299999999999997</v>
      </c>
      <c r="N129" s="31">
        <f t="shared" si="19"/>
        <v>20.363334124910949</v>
      </c>
      <c r="O129" s="29">
        <v>45978</v>
      </c>
    </row>
    <row r="130" spans="1:15" x14ac:dyDescent="0.25">
      <c r="A130" s="1">
        <v>4</v>
      </c>
      <c r="B130" s="1">
        <v>406</v>
      </c>
      <c r="C130" s="2" t="s">
        <v>7</v>
      </c>
      <c r="D130" s="21">
        <v>1.6259999999999999</v>
      </c>
      <c r="E130" s="7">
        <v>10.131</v>
      </c>
      <c r="F130" s="23">
        <v>242.4</v>
      </c>
      <c r="G130" s="9">
        <v>21.91</v>
      </c>
      <c r="H130" s="7">
        <f t="shared" si="17"/>
        <v>20.283999999999999</v>
      </c>
      <c r="I130" s="8">
        <v>173.02</v>
      </c>
      <c r="J130" s="19">
        <f t="shared" si="18"/>
        <v>162.88900000000001</v>
      </c>
      <c r="K130" s="19">
        <v>18.45</v>
      </c>
      <c r="L130" s="8">
        <f t="shared" ref="L130:L161" si="22">K130-D130</f>
        <v>16.823999999999998</v>
      </c>
      <c r="M130" s="7">
        <f t="shared" ref="M130:M161" si="23">H130-L130</f>
        <v>3.4600000000000009</v>
      </c>
      <c r="N130" s="31">
        <f t="shared" si="19"/>
        <v>20.565858297670005</v>
      </c>
      <c r="O130" s="29">
        <v>45978</v>
      </c>
    </row>
    <row r="131" spans="1:15" x14ac:dyDescent="0.25">
      <c r="A131" s="1">
        <v>4</v>
      </c>
      <c r="B131" s="1">
        <v>406</v>
      </c>
      <c r="C131" s="2" t="s">
        <v>8</v>
      </c>
      <c r="D131" s="21">
        <v>1.6259999999999999</v>
      </c>
      <c r="E131" s="7">
        <v>10.131</v>
      </c>
      <c r="F131" s="23">
        <v>290.63</v>
      </c>
      <c r="G131" s="9">
        <v>21.48</v>
      </c>
      <c r="H131" s="7">
        <f t="shared" ref="H131:H145" si="24">G131-D131</f>
        <v>19.853999999999999</v>
      </c>
      <c r="I131" s="8">
        <v>216.79</v>
      </c>
      <c r="J131" s="19">
        <f t="shared" ref="J131:J145" si="25">I131-E131</f>
        <v>206.65899999999999</v>
      </c>
      <c r="K131" s="19">
        <v>18.260000000000002</v>
      </c>
      <c r="L131" s="8">
        <f t="shared" si="22"/>
        <v>16.634</v>
      </c>
      <c r="M131" s="7">
        <f t="shared" si="23"/>
        <v>3.2199999999999989</v>
      </c>
      <c r="N131" s="31">
        <f t="shared" ref="N131:N145" si="26">(M131/L131)*100</f>
        <v>19.357941565468312</v>
      </c>
      <c r="O131" s="29">
        <v>45978</v>
      </c>
    </row>
    <row r="132" spans="1:15" x14ac:dyDescent="0.25">
      <c r="A132" s="1">
        <v>4</v>
      </c>
      <c r="B132" s="1">
        <v>406</v>
      </c>
      <c r="C132" s="2" t="s">
        <v>9</v>
      </c>
      <c r="D132" s="21">
        <v>1.6259999999999999</v>
      </c>
      <c r="E132" s="7">
        <v>10.131</v>
      </c>
      <c r="F132" s="23">
        <v>597.53</v>
      </c>
      <c r="G132" s="9">
        <v>21.83</v>
      </c>
      <c r="H132" s="7">
        <f t="shared" si="24"/>
        <v>20.203999999999997</v>
      </c>
      <c r="I132" s="8">
        <v>484.04</v>
      </c>
      <c r="J132" s="19">
        <f t="shared" si="25"/>
        <v>473.90899999999999</v>
      </c>
      <c r="K132" s="19">
        <v>18.53</v>
      </c>
      <c r="L132" s="8">
        <f t="shared" si="22"/>
        <v>16.904</v>
      </c>
      <c r="M132" s="7">
        <f t="shared" si="23"/>
        <v>3.2999999999999972</v>
      </c>
      <c r="N132" s="31">
        <f t="shared" si="26"/>
        <v>19.522006625650718</v>
      </c>
      <c r="O132" s="29">
        <v>45978</v>
      </c>
    </row>
    <row r="133" spans="1:15" x14ac:dyDescent="0.25">
      <c r="A133" s="1">
        <v>4</v>
      </c>
      <c r="B133" s="1">
        <v>406</v>
      </c>
      <c r="C133" s="2" t="s">
        <v>10</v>
      </c>
      <c r="D133" s="21">
        <v>1.6259999999999999</v>
      </c>
      <c r="E133" s="7">
        <v>10.131</v>
      </c>
      <c r="F133" s="23">
        <v>1090.8599999999999</v>
      </c>
      <c r="G133" s="9">
        <v>21.62</v>
      </c>
      <c r="H133" s="7">
        <f t="shared" si="24"/>
        <v>19.994</v>
      </c>
      <c r="I133" s="8">
        <v>914.6</v>
      </c>
      <c r="J133" s="19">
        <f t="shared" si="25"/>
        <v>904.46900000000005</v>
      </c>
      <c r="K133" s="19">
        <v>18.2</v>
      </c>
      <c r="L133" s="8">
        <f t="shared" si="22"/>
        <v>16.573999999999998</v>
      </c>
      <c r="M133" s="7">
        <f t="shared" si="23"/>
        <v>3.4200000000000017</v>
      </c>
      <c r="N133" s="31">
        <f t="shared" si="26"/>
        <v>20.634729093761326</v>
      </c>
      <c r="O133" s="29">
        <v>45978</v>
      </c>
    </row>
    <row r="134" spans="1:15" x14ac:dyDescent="0.25">
      <c r="A134" s="1">
        <v>4</v>
      </c>
      <c r="B134" s="1">
        <v>407</v>
      </c>
      <c r="C134" s="2" t="s">
        <v>7</v>
      </c>
      <c r="D134" s="21">
        <v>1.6259999999999999</v>
      </c>
      <c r="E134" s="7">
        <v>10.131</v>
      </c>
      <c r="F134" s="23">
        <v>267.39</v>
      </c>
      <c r="G134" s="9">
        <v>21.68</v>
      </c>
      <c r="H134" s="7">
        <f t="shared" si="24"/>
        <v>20.053999999999998</v>
      </c>
      <c r="I134" s="8">
        <v>191.62</v>
      </c>
      <c r="J134" s="19">
        <f t="shared" si="25"/>
        <v>181.489</v>
      </c>
      <c r="K134" s="19">
        <v>17.95</v>
      </c>
      <c r="L134" s="8">
        <f t="shared" si="22"/>
        <v>16.323999999999998</v>
      </c>
      <c r="M134" s="7">
        <f t="shared" si="23"/>
        <v>3.7300000000000004</v>
      </c>
      <c r="N134" s="31">
        <f t="shared" si="26"/>
        <v>22.849791717716251</v>
      </c>
      <c r="O134" s="29">
        <v>45978</v>
      </c>
    </row>
    <row r="135" spans="1:15" x14ac:dyDescent="0.25">
      <c r="A135" s="1">
        <v>4</v>
      </c>
      <c r="B135" s="1">
        <v>407</v>
      </c>
      <c r="C135" s="2" t="s">
        <v>8</v>
      </c>
      <c r="D135" s="21">
        <v>1.6259999999999999</v>
      </c>
      <c r="E135" s="7">
        <v>10.131</v>
      </c>
      <c r="F135" s="23">
        <v>397.07</v>
      </c>
      <c r="G135" s="9">
        <v>21.77</v>
      </c>
      <c r="H135" s="7">
        <f t="shared" si="24"/>
        <v>20.143999999999998</v>
      </c>
      <c r="I135" s="8">
        <v>305.7</v>
      </c>
      <c r="J135" s="19">
        <f t="shared" si="25"/>
        <v>295.56899999999996</v>
      </c>
      <c r="K135" s="19">
        <v>18.23</v>
      </c>
      <c r="L135" s="8">
        <f t="shared" si="22"/>
        <v>16.603999999999999</v>
      </c>
      <c r="M135" s="7">
        <f t="shared" si="23"/>
        <v>3.5399999999999991</v>
      </c>
      <c r="N135" s="31">
        <f t="shared" si="26"/>
        <v>21.320163815947961</v>
      </c>
      <c r="O135" s="29">
        <v>45978</v>
      </c>
    </row>
    <row r="136" spans="1:15" x14ac:dyDescent="0.25">
      <c r="A136" s="1">
        <v>4</v>
      </c>
      <c r="B136" s="1">
        <v>407</v>
      </c>
      <c r="C136" s="2" t="s">
        <v>9</v>
      </c>
      <c r="D136" s="21">
        <v>1.6259999999999999</v>
      </c>
      <c r="E136" s="7">
        <v>10.131</v>
      </c>
      <c r="F136" s="23">
        <v>630.05999999999995</v>
      </c>
      <c r="G136" s="9">
        <v>21.54</v>
      </c>
      <c r="H136" s="7">
        <f t="shared" si="24"/>
        <v>19.913999999999998</v>
      </c>
      <c r="I136" s="8">
        <v>516.03</v>
      </c>
      <c r="J136" s="19">
        <f t="shared" si="25"/>
        <v>505.899</v>
      </c>
      <c r="K136" s="19">
        <v>18.420000000000002</v>
      </c>
      <c r="L136" s="8">
        <f t="shared" si="22"/>
        <v>16.794</v>
      </c>
      <c r="M136" s="7">
        <f t="shared" si="23"/>
        <v>3.1199999999999974</v>
      </c>
      <c r="N136" s="31">
        <f t="shared" si="26"/>
        <v>18.578063594140747</v>
      </c>
      <c r="O136" s="29">
        <v>45978</v>
      </c>
    </row>
    <row r="137" spans="1:15" x14ac:dyDescent="0.25">
      <c r="A137" s="1">
        <v>4</v>
      </c>
      <c r="B137" s="1">
        <v>407</v>
      </c>
      <c r="C137" s="2" t="s">
        <v>10</v>
      </c>
      <c r="D137" s="21">
        <v>1.6259999999999999</v>
      </c>
      <c r="E137" s="7">
        <v>10.131</v>
      </c>
      <c r="F137" s="23">
        <v>1034.03</v>
      </c>
      <c r="G137" s="9">
        <v>21.48</v>
      </c>
      <c r="H137" s="7">
        <f t="shared" si="24"/>
        <v>19.853999999999999</v>
      </c>
      <c r="I137" s="8">
        <v>871.13</v>
      </c>
      <c r="J137" s="19">
        <f t="shared" si="25"/>
        <v>860.99900000000002</v>
      </c>
      <c r="K137" s="19">
        <v>18.16</v>
      </c>
      <c r="L137" s="8">
        <f t="shared" si="22"/>
        <v>16.533999999999999</v>
      </c>
      <c r="M137" s="7">
        <f t="shared" si="23"/>
        <v>3.3200000000000003</v>
      </c>
      <c r="N137" s="31">
        <f t="shared" si="26"/>
        <v>20.079835490504419</v>
      </c>
      <c r="O137" s="29">
        <v>45978</v>
      </c>
    </row>
    <row r="138" spans="1:15" x14ac:dyDescent="0.25">
      <c r="A138" s="1">
        <v>4</v>
      </c>
      <c r="B138" s="1">
        <v>408</v>
      </c>
      <c r="C138" s="2" t="s">
        <v>7</v>
      </c>
      <c r="D138" s="21">
        <v>1.6259999999999999</v>
      </c>
      <c r="E138" s="7">
        <v>10.131</v>
      </c>
      <c r="F138" s="23">
        <v>175.99</v>
      </c>
      <c r="G138" s="9">
        <v>21.85</v>
      </c>
      <c r="H138" s="7">
        <f t="shared" si="24"/>
        <v>20.224</v>
      </c>
      <c r="I138" s="8">
        <v>111.89</v>
      </c>
      <c r="J138" s="19">
        <f t="shared" si="25"/>
        <v>101.759</v>
      </c>
      <c r="K138" s="19">
        <v>18.760000000000002</v>
      </c>
      <c r="L138" s="8">
        <f t="shared" si="22"/>
        <v>17.134</v>
      </c>
      <c r="M138" s="7">
        <f t="shared" si="23"/>
        <v>3.09</v>
      </c>
      <c r="N138" s="31">
        <f t="shared" si="26"/>
        <v>18.034317730827592</v>
      </c>
      <c r="O138" s="29">
        <v>45978</v>
      </c>
    </row>
    <row r="139" spans="1:15" x14ac:dyDescent="0.25">
      <c r="A139" s="1">
        <v>4</v>
      </c>
      <c r="B139" s="1">
        <v>408</v>
      </c>
      <c r="C139" s="2" t="s">
        <v>8</v>
      </c>
      <c r="D139" s="21">
        <v>1.6259999999999999</v>
      </c>
      <c r="E139" s="7">
        <v>10.131</v>
      </c>
      <c r="F139" s="23">
        <v>306.76</v>
      </c>
      <c r="G139" s="9">
        <v>21.71</v>
      </c>
      <c r="H139" s="7">
        <f t="shared" si="24"/>
        <v>20.084</v>
      </c>
      <c r="I139" s="8">
        <v>233.56</v>
      </c>
      <c r="J139" s="19">
        <f t="shared" si="25"/>
        <v>223.429</v>
      </c>
      <c r="K139" s="19">
        <v>18.649999999999999</v>
      </c>
      <c r="L139" s="8">
        <f t="shared" si="22"/>
        <v>17.023999999999997</v>
      </c>
      <c r="M139" s="7">
        <f t="shared" si="23"/>
        <v>3.0600000000000023</v>
      </c>
      <c r="N139" s="31">
        <f t="shared" si="26"/>
        <v>17.974624060150393</v>
      </c>
      <c r="O139" s="29">
        <v>45978</v>
      </c>
    </row>
    <row r="140" spans="1:15" x14ac:dyDescent="0.25">
      <c r="A140" s="1">
        <v>4</v>
      </c>
      <c r="B140" s="1">
        <v>408</v>
      </c>
      <c r="C140" s="2" t="s">
        <v>9</v>
      </c>
      <c r="D140" s="21">
        <v>1.6259999999999999</v>
      </c>
      <c r="E140" s="7">
        <v>10.131</v>
      </c>
      <c r="F140" s="23">
        <v>429.99</v>
      </c>
      <c r="G140" s="9">
        <v>21.75</v>
      </c>
      <c r="H140" s="7">
        <f t="shared" si="24"/>
        <v>20.123999999999999</v>
      </c>
      <c r="I140" s="8">
        <v>342.97</v>
      </c>
      <c r="J140" s="19">
        <f t="shared" si="25"/>
        <v>332.83900000000006</v>
      </c>
      <c r="K140" s="19">
        <v>18.79</v>
      </c>
      <c r="L140" s="8">
        <f t="shared" si="22"/>
        <v>17.163999999999998</v>
      </c>
      <c r="M140" s="7">
        <f t="shared" si="23"/>
        <v>2.9600000000000009</v>
      </c>
      <c r="N140" s="31">
        <f t="shared" si="26"/>
        <v>17.245397343276633</v>
      </c>
      <c r="O140" s="29">
        <v>45978</v>
      </c>
    </row>
    <row r="141" spans="1:15" x14ac:dyDescent="0.25">
      <c r="A141" s="1">
        <v>4</v>
      </c>
      <c r="B141" s="1">
        <v>408</v>
      </c>
      <c r="C141" s="2" t="s">
        <v>10</v>
      </c>
      <c r="D141" s="21">
        <v>1.6259999999999999</v>
      </c>
      <c r="E141" s="7">
        <v>10.131</v>
      </c>
      <c r="F141" s="23">
        <v>1213.49</v>
      </c>
      <c r="G141" s="9">
        <v>21.68</v>
      </c>
      <c r="H141" s="7">
        <f t="shared" si="24"/>
        <v>20.053999999999998</v>
      </c>
      <c r="I141" s="8">
        <v>1036.1099999999999</v>
      </c>
      <c r="J141" s="19">
        <f t="shared" si="25"/>
        <v>1025.9789999999998</v>
      </c>
      <c r="K141" s="19">
        <v>18.64</v>
      </c>
      <c r="L141" s="8">
        <f t="shared" si="22"/>
        <v>17.013999999999999</v>
      </c>
      <c r="M141" s="7">
        <f t="shared" si="23"/>
        <v>3.0399999999999991</v>
      </c>
      <c r="N141" s="31">
        <f t="shared" si="26"/>
        <v>17.867638415422586</v>
      </c>
      <c r="O141" s="29">
        <v>45978</v>
      </c>
    </row>
    <row r="142" spans="1:15" x14ac:dyDescent="0.25">
      <c r="A142" s="1">
        <v>4</v>
      </c>
      <c r="B142" s="1">
        <v>409</v>
      </c>
      <c r="C142" s="2" t="s">
        <v>7</v>
      </c>
      <c r="D142" s="21">
        <v>1.6259999999999999</v>
      </c>
      <c r="E142" s="7">
        <v>10.131</v>
      </c>
      <c r="F142" s="23">
        <v>253.83</v>
      </c>
      <c r="G142" s="9">
        <v>21.4</v>
      </c>
      <c r="H142" s="7">
        <f t="shared" si="24"/>
        <v>19.773999999999997</v>
      </c>
      <c r="I142" s="8">
        <v>182.41</v>
      </c>
      <c r="J142" s="19">
        <f t="shared" si="25"/>
        <v>172.279</v>
      </c>
      <c r="K142" s="19">
        <v>18.100000000000001</v>
      </c>
      <c r="L142" s="8">
        <f t="shared" si="22"/>
        <v>16.474</v>
      </c>
      <c r="M142" s="7">
        <f t="shared" si="23"/>
        <v>3.2999999999999972</v>
      </c>
      <c r="N142" s="31">
        <f t="shared" si="26"/>
        <v>20.031564890129886</v>
      </c>
      <c r="O142" s="29">
        <v>45978</v>
      </c>
    </row>
    <row r="143" spans="1:15" x14ac:dyDescent="0.25">
      <c r="A143" s="1">
        <v>4</v>
      </c>
      <c r="B143" s="1">
        <v>409</v>
      </c>
      <c r="C143" s="2" t="s">
        <v>8</v>
      </c>
      <c r="D143" s="21">
        <v>1.6259999999999999</v>
      </c>
      <c r="E143" s="7">
        <v>10.131</v>
      </c>
      <c r="F143" s="23">
        <v>394.71</v>
      </c>
      <c r="G143" s="9">
        <v>21.45</v>
      </c>
      <c r="H143" s="7">
        <f t="shared" si="24"/>
        <v>19.823999999999998</v>
      </c>
      <c r="I143" s="8">
        <v>308.52</v>
      </c>
      <c r="J143" s="19">
        <f t="shared" si="25"/>
        <v>298.38900000000001</v>
      </c>
      <c r="K143" s="19">
        <v>18.36</v>
      </c>
      <c r="L143" s="8">
        <f t="shared" si="22"/>
        <v>16.733999999999998</v>
      </c>
      <c r="M143" s="7">
        <f t="shared" si="23"/>
        <v>3.09</v>
      </c>
      <c r="N143" s="31">
        <f t="shared" si="26"/>
        <v>18.465399784869131</v>
      </c>
      <c r="O143" s="29">
        <v>45978</v>
      </c>
    </row>
    <row r="144" spans="1:15" x14ac:dyDescent="0.25">
      <c r="A144" s="1">
        <v>4</v>
      </c>
      <c r="B144" s="1">
        <v>409</v>
      </c>
      <c r="C144" s="2" t="s">
        <v>9</v>
      </c>
      <c r="D144" s="21">
        <v>1.6259999999999999</v>
      </c>
      <c r="E144" s="7">
        <v>10.131</v>
      </c>
      <c r="F144" s="23">
        <v>705.91</v>
      </c>
      <c r="G144" s="9">
        <v>21.68</v>
      </c>
      <c r="H144" s="7">
        <f t="shared" si="24"/>
        <v>20.053999999999998</v>
      </c>
      <c r="I144" s="8">
        <v>586.09</v>
      </c>
      <c r="J144" s="19">
        <f t="shared" si="25"/>
        <v>575.95900000000006</v>
      </c>
      <c r="K144" s="19">
        <v>18.829999999999998</v>
      </c>
      <c r="L144" s="8">
        <f t="shared" si="22"/>
        <v>17.203999999999997</v>
      </c>
      <c r="M144" s="7">
        <f t="shared" si="23"/>
        <v>2.8500000000000014</v>
      </c>
      <c r="N144" s="31">
        <f t="shared" si="26"/>
        <v>16.565914903510823</v>
      </c>
      <c r="O144" s="29">
        <v>45978</v>
      </c>
    </row>
    <row r="145" spans="1:15" x14ac:dyDescent="0.25">
      <c r="A145" s="1">
        <v>4</v>
      </c>
      <c r="B145" s="1">
        <v>409</v>
      </c>
      <c r="C145" s="2" t="s">
        <v>10</v>
      </c>
      <c r="D145" s="21">
        <v>1.6259999999999999</v>
      </c>
      <c r="E145" s="7">
        <v>10.131</v>
      </c>
      <c r="F145" s="23">
        <v>1020.96</v>
      </c>
      <c r="G145" s="9">
        <v>21.62</v>
      </c>
      <c r="H145" s="7">
        <f t="shared" si="24"/>
        <v>19.994</v>
      </c>
      <c r="I145" s="8">
        <v>850.12</v>
      </c>
      <c r="J145" s="19">
        <f t="shared" si="25"/>
        <v>839.98900000000003</v>
      </c>
      <c r="K145" s="19">
        <v>18.21</v>
      </c>
      <c r="L145" s="8">
        <f t="shared" si="22"/>
        <v>16.584</v>
      </c>
      <c r="M145" s="7">
        <f t="shared" si="23"/>
        <v>3.41</v>
      </c>
      <c r="N145" s="31">
        <f t="shared" si="26"/>
        <v>20.561987457790643</v>
      </c>
      <c r="O145" s="29">
        <v>45978</v>
      </c>
    </row>
  </sheetData>
  <autoFilter ref="A1:O145" xr:uid="{A6BF1535-DBB5-4AD7-9C8A-9A61F7321993}"/>
  <phoneticPr fontId="2" type="noConversion"/>
  <pageMargins left="0.25" right="0.25" top="0.75" bottom="0.75" header="0.3" footer="0.3"/>
  <pageSetup orientation="portrait" horizontalDpi="300" verticalDpi="300"/>
  <ignoredErrors>
    <ignoredError sqref="C3:C14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Hoja1 (2)</vt:lpstr>
      <vt:lpstr>Hoja1 (3)</vt:lpstr>
      <vt:lpstr>Hoja1 (4)</vt:lpstr>
      <vt:lpstr>PESO MUESTREO DE SUELO OTOÑO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Mikaella Moreno</dc:creator>
  <cp:keywords/>
  <dc:description/>
  <cp:lastModifiedBy>Mikaella Moreno Sánchez</cp:lastModifiedBy>
  <cp:revision/>
  <dcterms:created xsi:type="dcterms:W3CDTF">2025-09-16T12:06:47Z</dcterms:created>
  <dcterms:modified xsi:type="dcterms:W3CDTF">2026-08-06T21:06:29Z</dcterms:modified>
  <cp:category/>
  <cp:contentStatus/>
</cp:coreProperties>
</file>